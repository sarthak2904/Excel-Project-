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Sarth\OneDrive\Desktop\Arbor Academy\Excel\Dashboard assignment employee\"/>
    </mc:Choice>
  </mc:AlternateContent>
  <xr:revisionPtr revIDLastSave="0" documentId="13_ncr:1_{2B508046-BBA5-4405-82FE-0922F2FD7E96}" xr6:coauthVersionLast="47" xr6:coauthVersionMax="47" xr10:uidLastSave="{00000000-0000-0000-0000-000000000000}"/>
  <bookViews>
    <workbookView xWindow="-108" yWindow="-108" windowWidth="23256" windowHeight="12456" activeTab="4" xr2:uid="{FACC0D5C-AAA9-46CD-865B-DCE3658F257C}"/>
  </bookViews>
  <sheets>
    <sheet name="Sales raw data 2" sheetId="1" r:id="rId1"/>
    <sheet name="Cleaned Data" sheetId="2" r:id="rId2"/>
    <sheet name="Kpi " sheetId="3" r:id="rId3"/>
    <sheet name="Charts and slicers" sheetId="4" r:id="rId4"/>
    <sheet name="dashboards" sheetId="5" r:id="rId5"/>
  </sheets>
  <definedNames>
    <definedName name="ExternalData_1" localSheetId="1" hidden="1">'Cleaned Data'!$A$1:$H$1304</definedName>
    <definedName name="Slicer_Item">#N/A</definedName>
    <definedName name="Slicer_State">#N/A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5" l="1"/>
  <c r="I7" i="5"/>
  <c r="L4" i="5"/>
  <c r="I4" i="5"/>
  <c r="C7" i="3"/>
  <c r="C6" i="3"/>
  <c r="C5" i="3"/>
  <c r="C4" i="3"/>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F2836B-EAE8-41D2-A308-FF3160F13A8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<sst xmlns="http://schemas.openxmlformats.org/spreadsheetml/2006/main" count="7901" uniqueCount="53">
  <si>
    <t>Date</t>
  </si>
  <si>
    <t>Item</t>
  </si>
  <si>
    <t>Sales Rep</t>
  </si>
  <si>
    <t>Quantity</t>
  </si>
  <si>
    <t>Price</t>
  </si>
  <si>
    <t>Commission</t>
  </si>
  <si>
    <t>State</t>
  </si>
  <si>
    <t>Printer</t>
  </si>
  <si>
    <t>John</t>
  </si>
  <si>
    <t>Meghalaya</t>
  </si>
  <si>
    <t>White Board</t>
  </si>
  <si>
    <t>Mark</t>
  </si>
  <si>
    <t>Uttar Pradesh</t>
  </si>
  <si>
    <t>Office Chair</t>
  </si>
  <si>
    <t>Maharashtra</t>
  </si>
  <si>
    <t>Delhi</t>
  </si>
  <si>
    <t>Laura</t>
  </si>
  <si>
    <t>West Bengal</t>
  </si>
  <si>
    <t>Stacey</t>
  </si>
  <si>
    <t>Bihar</t>
  </si>
  <si>
    <t>Diary</t>
  </si>
  <si>
    <t>Bob</t>
  </si>
  <si>
    <t>Goa</t>
  </si>
  <si>
    <t>Projector</t>
  </si>
  <si>
    <t>Karnataka</t>
  </si>
  <si>
    <t>Gujarat</t>
  </si>
  <si>
    <t>Jharkhand</t>
  </si>
  <si>
    <t>Haryana</t>
  </si>
  <si>
    <t>Kerala</t>
  </si>
  <si>
    <t>Total sales</t>
  </si>
  <si>
    <t xml:space="preserve">Kpi </t>
  </si>
  <si>
    <t xml:space="preserve">Total Sales </t>
  </si>
  <si>
    <t xml:space="preserve">Total Commission </t>
  </si>
  <si>
    <t xml:space="preserve">Total Quantity </t>
  </si>
  <si>
    <t>Row Labels</t>
  </si>
  <si>
    <t>Grand Total</t>
  </si>
  <si>
    <t>Count of Item</t>
  </si>
  <si>
    <t>Total Orders</t>
  </si>
  <si>
    <t xml:space="preserve">Slicers </t>
  </si>
  <si>
    <t xml:space="preserve">State </t>
  </si>
  <si>
    <t>Items</t>
  </si>
  <si>
    <t xml:space="preserve">Charts </t>
  </si>
  <si>
    <t xml:space="preserve">Total sales per day </t>
  </si>
  <si>
    <t>Product Sold per state</t>
  </si>
  <si>
    <t>Sales by saler</t>
  </si>
  <si>
    <t xml:space="preserve">Average commision per saler </t>
  </si>
  <si>
    <t>Total Comission</t>
  </si>
  <si>
    <t>Sum of Quantity</t>
  </si>
  <si>
    <t>Sum of Total sales</t>
  </si>
  <si>
    <t>Sum of Commission</t>
  </si>
  <si>
    <t xml:space="preserve">Sales report per Month </t>
  </si>
  <si>
    <t>Total  Sales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</si>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</sst>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theme="3" tint="0.499984740745262"/>
        <bgColor indexed="64"/>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center"/>
    </xf>
    <xf numFmtId="0" fontId="0" fillId="33" borderId="0" xfId="0" applyFill="1"/>
    <xf numFmtId="0" fontId="0" fillId="34" borderId="0" xfId="0" applyFill="1"/>
    <xf numFmtId="0" fontId="0" fillId="0" borderId="0" xfId="0" applyNumberFormat="1"/>
    <xf numFmtId="0" fontId="0" fillId="0" borderId="0" xfId="0" applyAlignment="1">
      <alignment horizontal="left"/>
    </xf>
    <xf numFmtId="0" fontId="18" fillId="33" borderId="0" xfId="0" applyFont="1" applyFill="1" applyAlignment="1">
      <alignment horizontal="center"/>
    </xf>
    <xf numFmtId="0" fontId="0" fillId="34" borderId="10" xfId="0" applyFill="1" applyBorder="1" applyAlignment="1">
      <alignment horizontal="center"/>
    </xf>
    <xf numFmtId="0" fontId="0" fillId="35" borderId="0" xfId="0" applyFill="1"/>
    <xf numFmtId="0" fontId="0" fillId="35"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 Dashboard.xlsx]Charts and slicers!PivotTable1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Orders per month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and slicers'!$B$2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 and slicers'!$A$3:$A$34</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'Charts and slicers'!$B$3:$B$34</c:f>
              <c:numCache>
                <c:formatCode>General</c:formatCode>
                <c:ptCount val="31"/>
                <c:pt idx="0">
                  <c:v>39</c:v>
                </c:pt>
                <c:pt idx="1">
                  <c:v>33</c:v>
                </c:pt>
                <c:pt idx="2">
                  <c:v>36</c:v>
                </c:pt>
                <c:pt idx="3">
                  <c:v>35</c:v>
                </c:pt>
                <c:pt idx="4">
                  <c:v>42</c:v>
                </c:pt>
                <c:pt idx="5">
                  <c:v>47</c:v>
                </c:pt>
                <c:pt idx="6">
                  <c:v>53</c:v>
                </c:pt>
                <c:pt idx="7">
                  <c:v>51</c:v>
                </c:pt>
                <c:pt idx="8">
                  <c:v>38</c:v>
                </c:pt>
                <c:pt idx="9">
                  <c:v>50</c:v>
                </c:pt>
                <c:pt idx="10">
                  <c:v>43</c:v>
                </c:pt>
                <c:pt idx="11">
                  <c:v>30</c:v>
                </c:pt>
                <c:pt idx="12">
                  <c:v>48</c:v>
                </c:pt>
                <c:pt idx="13">
                  <c:v>46</c:v>
                </c:pt>
                <c:pt idx="14">
                  <c:v>45</c:v>
                </c:pt>
                <c:pt idx="15">
                  <c:v>48</c:v>
                </c:pt>
                <c:pt idx="16">
                  <c:v>48</c:v>
                </c:pt>
                <c:pt idx="17">
                  <c:v>41</c:v>
                </c:pt>
                <c:pt idx="18">
                  <c:v>44</c:v>
                </c:pt>
                <c:pt idx="19">
                  <c:v>34</c:v>
                </c:pt>
                <c:pt idx="20">
                  <c:v>48</c:v>
                </c:pt>
                <c:pt idx="21">
                  <c:v>38</c:v>
                </c:pt>
                <c:pt idx="22">
                  <c:v>39</c:v>
                </c:pt>
                <c:pt idx="23">
                  <c:v>46</c:v>
                </c:pt>
                <c:pt idx="24">
                  <c:v>49</c:v>
                </c:pt>
                <c:pt idx="25">
                  <c:v>47</c:v>
                </c:pt>
                <c:pt idx="26">
                  <c:v>52</c:v>
                </c:pt>
                <c:pt idx="27">
                  <c:v>37</c:v>
                </c:pt>
                <c:pt idx="28">
                  <c:v>42</c:v>
                </c:pt>
                <c:pt idx="29">
                  <c:v>28</c:v>
                </c:pt>
                <c:pt idx="30">
                  <c:v>26</c:v>
                </c:pt>
              </c:numCache>
            </c:numRef>
          </c:val>
          <c:smooth val="0"/>
          <c:extLst>
            <c:ext xmlns:c16="http://schemas.microsoft.com/office/drawing/2014/chart" uri="{C3380CC4-5D6E-409C-BE32-E72D297353CC}">
              <c16:uniqueId val="{00000000-B327-4DBE-8547-A0278E037EFA}"/>
            </c:ext>
          </c:extLst>
        </c:ser>
        <c:dLbls>
          <c:showLegendKey val="0"/>
          <c:showVal val="0"/>
          <c:showCatName val="0"/>
          <c:showSerName val="0"/>
          <c:showPercent val="0"/>
          <c:showBubbleSize val="0"/>
        </c:dLbls>
        <c:marker val="1"/>
        <c:smooth val="0"/>
        <c:axId val="382084128"/>
        <c:axId val="382085088"/>
      </c:lineChart>
      <c:catAx>
        <c:axId val="3820841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085088"/>
        <c:crosses val="autoZero"/>
        <c:auto val="1"/>
        <c:lblAlgn val="ctr"/>
        <c:lblOffset val="100"/>
        <c:noMultiLvlLbl val="0"/>
      </c:catAx>
      <c:valAx>
        <c:axId val="382085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08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 Dashboard.xlsx]Charts and slicers!PivotTable2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Quantity</a:t>
            </a:r>
            <a:r>
              <a:rPr lang="en-US" baseline="0"/>
              <a:t> sold per state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'Charts and slicers'!$B$39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slicers'!$A$40:$A$52</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 and slicers'!$B$40:$B$52</c:f>
              <c:numCache>
                <c:formatCode>General</c:formatCode>
                <c:ptCount val="12"/>
                <c:pt idx="0">
                  <c:v>1276</c:v>
                </c:pt>
                <c:pt idx="1">
                  <c:v>1433</c:v>
                </c:pt>
                <c:pt idx="2">
                  <c:v>1577</c:v>
                </c:pt>
                <c:pt idx="3">
                  <c:v>2049</c:v>
                </c:pt>
                <c:pt idx="4">
                  <c:v>887</c:v>
                </c:pt>
                <c:pt idx="5">
                  <c:v>1535</c:v>
                </c:pt>
                <c:pt idx="6">
                  <c:v>1461</c:v>
                </c:pt>
                <c:pt idx="7">
                  <c:v>865</c:v>
                </c:pt>
                <c:pt idx="8">
                  <c:v>2025</c:v>
                </c:pt>
                <c:pt idx="9">
                  <c:v>953</c:v>
                </c:pt>
                <c:pt idx="10">
                  <c:v>1253</c:v>
                </c:pt>
                <c:pt idx="11">
                  <c:v>1351</c:v>
                </c:pt>
              </c:numCache>
            </c:numRef>
          </c:val>
          <c:extLst>
            <c:ext xmlns:c16="http://schemas.microsoft.com/office/drawing/2014/chart" uri="{C3380CC4-5D6E-409C-BE32-E72D297353CC}">
              <c16:uniqueId val="{00000000-5398-4034-B73B-E3178949E27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 Dashboard.xlsx]Charts and slicers!PivotTable3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'Charts and slicers'!$B$56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slicers'!$A$57:$A$69</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 and slicers'!$B$57:$B$69</c:f>
              <c:numCache>
                <c:formatCode>General</c:formatCode>
                <c:ptCount val="12"/>
                <c:pt idx="0">
                  <c:v>120408</c:v>
                </c:pt>
                <c:pt idx="1">
                  <c:v>128512</c:v>
                </c:pt>
                <c:pt idx="2">
                  <c:v>157020</c:v>
                </c:pt>
                <c:pt idx="3">
                  <c:v>197984</c:v>
                </c:pt>
                <c:pt idx="4">
                  <c:v>94774</c:v>
                </c:pt>
                <c:pt idx="5">
                  <c:v>130490</c:v>
                </c:pt>
                <c:pt idx="6">
                  <c:v>145128</c:v>
                </c:pt>
                <c:pt idx="7">
                  <c:v>78416</c:v>
                </c:pt>
                <c:pt idx="8">
                  <c:v>192866</c:v>
                </c:pt>
                <c:pt idx="9">
                  <c:v>80594</c:v>
                </c:pt>
                <c:pt idx="10">
                  <c:v>124640</c:v>
                </c:pt>
                <c:pt idx="11">
                  <c:v>137754</c:v>
                </c:pt>
              </c:numCache>
            </c:numRef>
          </c:val>
          <c:extLst>
            <c:ext xmlns:c16="http://schemas.microsoft.com/office/drawing/2014/chart" uri="{C3380CC4-5D6E-409C-BE32-E72D297353CC}">
              <c16:uniqueId val="{00000000-2EED-4B5F-B75C-7CCC9E4DB3C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 Dashboard.xlsx]Charts and slicers!PivotTable4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Quantity per sales</a:t>
            </a:r>
            <a:r>
              <a:rPr lang="en-US" baseline="0"/>
              <a:t> rep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and slicers'!$B$73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 and slicers'!$A$74:$A$79</c:f>
              <c:strCache>
                <c:ptCount val="5"/>
                <c:pt idx="0">
                  <c:v>Bob</c:v>
                </c:pt>
                <c:pt idx="1">
                  <c:v>John</c:v>
                </c:pt>
                <c:pt idx="2">
                  <c:v>Laura</c:v>
                </c:pt>
                <c:pt idx="3">
                  <c:v>Mark</c:v>
                </c:pt>
                <c:pt idx="4">
                  <c:v>Stacey</c:v>
                </c:pt>
              </c:strCache>
            </c:strRef>
          </c:cat>
          <c:val>
            <c:numRef>
              <c:f>'Charts and slicers'!$B$74:$B$79</c:f>
              <c:numCache>
                <c:formatCode>General</c:formatCode>
                <c:ptCount val="5"/>
                <c:pt idx="0">
                  <c:v>3594</c:v>
                </c:pt>
                <c:pt idx="1">
                  <c:v>3603</c:v>
                </c:pt>
                <c:pt idx="2">
                  <c:v>2921</c:v>
                </c:pt>
                <c:pt idx="3">
                  <c:v>3058</c:v>
                </c:pt>
                <c:pt idx="4">
                  <c:v>3489</c:v>
                </c:pt>
              </c:numCache>
            </c:numRef>
          </c:val>
          <c:extLst>
            <c:ext xmlns:c16="http://schemas.microsoft.com/office/drawing/2014/chart" uri="{C3380CC4-5D6E-409C-BE32-E72D297353CC}">
              <c16:uniqueId val="{00000000-2C12-4D1B-93EF-094F566E4340}"/>
            </c:ext>
          </c:extLst>
        </c:ser>
        <c:dLbls>
          <c:showLegendKey val="0"/>
          <c:showVal val="0"/>
          <c:showCatName val="0"/>
          <c:showSerName val="0"/>
          <c:showPercent val="0"/>
          <c:showBubbleSize val="0"/>
        </c:dLbls>
        <c:gapWidth val="115"/>
        <c:overlap val="-20"/>
        <c:axId val="253689983"/>
        <c:axId val="253697183"/>
      </c:barChart>
      <c:catAx>
        <c:axId val="253689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97183"/>
        <c:crosses val="autoZero"/>
        <c:auto val="1"/>
        <c:lblAlgn val="ctr"/>
        <c:lblOffset val="100"/>
        <c:noMultiLvlLbl val="0"/>
      </c:catAx>
      <c:valAx>
        <c:axId val="2536971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8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 Dashboard.xlsx]Charts and slicers!PivotTable5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and slicers'!$B$87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 and slicers'!$A$88:$A$93</c:f>
              <c:strCache>
                <c:ptCount val="5"/>
                <c:pt idx="0">
                  <c:v>Bob</c:v>
                </c:pt>
                <c:pt idx="1">
                  <c:v>John</c:v>
                </c:pt>
                <c:pt idx="2">
                  <c:v>Laura</c:v>
                </c:pt>
                <c:pt idx="3">
                  <c:v>Mark</c:v>
                </c:pt>
                <c:pt idx="4">
                  <c:v>Stacey</c:v>
                </c:pt>
              </c:strCache>
            </c:strRef>
          </c:cat>
          <c:val>
            <c:numRef>
              <c:f>'Charts and slicers'!$B$88:$B$93</c:f>
              <c:numCache>
                <c:formatCode>General</c:formatCode>
                <c:ptCount val="5"/>
                <c:pt idx="0">
                  <c:v>17.429999999999986</c:v>
                </c:pt>
                <c:pt idx="1">
                  <c:v>17.199999999999967</c:v>
                </c:pt>
                <c:pt idx="2">
                  <c:v>14.379999999999969</c:v>
                </c:pt>
                <c:pt idx="3">
                  <c:v>14.939999999999966</c:v>
                </c:pt>
                <c:pt idx="4">
                  <c:v>16.049999999999979</c:v>
                </c:pt>
              </c:numCache>
            </c:numRef>
          </c:val>
          <c:extLst>
            <c:ext xmlns:c16="http://schemas.microsoft.com/office/drawing/2014/chart" uri="{C3380CC4-5D6E-409C-BE32-E72D297353CC}">
              <c16:uniqueId val="{00000000-3173-4915-8813-BFCD16B76AA7}"/>
            </c:ext>
          </c:extLst>
        </c:ser>
        <c:dLbls>
          <c:showLegendKey val="0"/>
          <c:showVal val="0"/>
          <c:showCatName val="0"/>
          <c:showSerName val="0"/>
          <c:showPercent val="0"/>
          <c:showBubbleSize val="0"/>
        </c:dLbls>
        <c:gapWidth val="115"/>
        <c:overlap val="-20"/>
        <c:axId val="253698143"/>
        <c:axId val="253705343"/>
      </c:barChart>
      <c:catAx>
        <c:axId val="2536981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705343"/>
        <c:crosses val="autoZero"/>
        <c:auto val="1"/>
        <c:lblAlgn val="ctr"/>
        <c:lblOffset val="100"/>
        <c:noMultiLvlLbl val="0"/>
      </c:catAx>
      <c:valAx>
        <c:axId val="2537053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9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 Dashboard.xlsx]Charts and slicers!PivotTable2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Quantity</a:t>
            </a:r>
            <a:r>
              <a:rPr lang="en-US" baseline="0"/>
              <a:t> sold per state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 and slicers'!$B$39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F4-4AFC-86CE-5253AEF80B3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F4-4AFC-86CE-5253AEF80B3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CF4-4AFC-86CE-5253AEF80B3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CF4-4AFC-86CE-5253AEF80B3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CF4-4AFC-86CE-5253AEF80B3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CF4-4AFC-86CE-5253AEF80B3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CF4-4AFC-86CE-5253AEF80B3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CF4-4AFC-86CE-5253AEF80B3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CF4-4AFC-86CE-5253AEF80B3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CF4-4AFC-86CE-5253AEF80B3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CF4-4AFC-86CE-5253AEF80B3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CF4-4AFC-86CE-5253AEF80B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slicers'!$A$40:$A$52</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 and slicers'!$B$40:$B$52</c:f>
              <c:numCache>
                <c:formatCode>General</c:formatCode>
                <c:ptCount val="12"/>
                <c:pt idx="0">
                  <c:v>1276</c:v>
                </c:pt>
                <c:pt idx="1">
                  <c:v>1433</c:v>
                </c:pt>
                <c:pt idx="2">
                  <c:v>1577</c:v>
                </c:pt>
                <c:pt idx="3">
                  <c:v>2049</c:v>
                </c:pt>
                <c:pt idx="4">
                  <c:v>887</c:v>
                </c:pt>
                <c:pt idx="5">
                  <c:v>1535</c:v>
                </c:pt>
                <c:pt idx="6">
                  <c:v>1461</c:v>
                </c:pt>
                <c:pt idx="7">
                  <c:v>865</c:v>
                </c:pt>
                <c:pt idx="8">
                  <c:v>2025</c:v>
                </c:pt>
                <c:pt idx="9">
                  <c:v>953</c:v>
                </c:pt>
                <c:pt idx="10">
                  <c:v>1253</c:v>
                </c:pt>
                <c:pt idx="11">
                  <c:v>1351</c:v>
                </c:pt>
              </c:numCache>
            </c:numRef>
          </c:val>
          <c:extLst>
            <c:ext xmlns:c16="http://schemas.microsoft.com/office/drawing/2014/chart" uri="{C3380CC4-5D6E-409C-BE32-E72D297353CC}">
              <c16:uniqueId val="{00000018-BCF4-4AFC-86CE-5253AEF80B3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 Dashboard.xlsx]Charts and slicers!PivotTable3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 and slicers'!$B$56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4C3-4BFB-AF91-8CC54A6B39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4C3-4BFB-AF91-8CC54A6B39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4C3-4BFB-AF91-8CC54A6B393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4C3-4BFB-AF91-8CC54A6B393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4C3-4BFB-AF91-8CC54A6B393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4C3-4BFB-AF91-8CC54A6B393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4C3-4BFB-AF91-8CC54A6B393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4C3-4BFB-AF91-8CC54A6B393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4C3-4BFB-AF91-8CC54A6B393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4C3-4BFB-AF91-8CC54A6B393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4C3-4BFB-AF91-8CC54A6B393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4C3-4BFB-AF91-8CC54A6B39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slicers'!$A$57:$A$69</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 and slicers'!$B$57:$B$69</c:f>
              <c:numCache>
                <c:formatCode>General</c:formatCode>
                <c:ptCount val="12"/>
                <c:pt idx="0">
                  <c:v>120408</c:v>
                </c:pt>
                <c:pt idx="1">
                  <c:v>128512</c:v>
                </c:pt>
                <c:pt idx="2">
                  <c:v>157020</c:v>
                </c:pt>
                <c:pt idx="3">
                  <c:v>197984</c:v>
                </c:pt>
                <c:pt idx="4">
                  <c:v>94774</c:v>
                </c:pt>
                <c:pt idx="5">
                  <c:v>130490</c:v>
                </c:pt>
                <c:pt idx="6">
                  <c:v>145128</c:v>
                </c:pt>
                <c:pt idx="7">
                  <c:v>78416</c:v>
                </c:pt>
                <c:pt idx="8">
                  <c:v>192866</c:v>
                </c:pt>
                <c:pt idx="9">
                  <c:v>80594</c:v>
                </c:pt>
                <c:pt idx="10">
                  <c:v>124640</c:v>
                </c:pt>
                <c:pt idx="11">
                  <c:v>137754</c:v>
                </c:pt>
              </c:numCache>
            </c:numRef>
          </c:val>
          <c:extLst>
            <c:ext xmlns:c16="http://schemas.microsoft.com/office/drawing/2014/chart" uri="{C3380CC4-5D6E-409C-BE32-E72D297353CC}">
              <c16:uniqueId val="{00000018-24C3-4BFB-AF91-8CC54A6B393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 Dashboard.xlsx]Charts and slicers!PivotTable1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Orders per month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and slicers'!$B$2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 and slicers'!$A$3:$A$34</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'Charts and slicers'!$B$3:$B$34</c:f>
              <c:numCache>
                <c:formatCode>General</c:formatCode>
                <c:ptCount val="31"/>
                <c:pt idx="0">
                  <c:v>39</c:v>
                </c:pt>
                <c:pt idx="1">
                  <c:v>33</c:v>
                </c:pt>
                <c:pt idx="2">
                  <c:v>36</c:v>
                </c:pt>
                <c:pt idx="3">
                  <c:v>35</c:v>
                </c:pt>
                <c:pt idx="4">
                  <c:v>42</c:v>
                </c:pt>
                <c:pt idx="5">
                  <c:v>47</c:v>
                </c:pt>
                <c:pt idx="6">
                  <c:v>53</c:v>
                </c:pt>
                <c:pt idx="7">
                  <c:v>51</c:v>
                </c:pt>
                <c:pt idx="8">
                  <c:v>38</c:v>
                </c:pt>
                <c:pt idx="9">
                  <c:v>50</c:v>
                </c:pt>
                <c:pt idx="10">
                  <c:v>43</c:v>
                </c:pt>
                <c:pt idx="11">
                  <c:v>30</c:v>
                </c:pt>
                <c:pt idx="12">
                  <c:v>48</c:v>
                </c:pt>
                <c:pt idx="13">
                  <c:v>46</c:v>
                </c:pt>
                <c:pt idx="14">
                  <c:v>45</c:v>
                </c:pt>
                <c:pt idx="15">
                  <c:v>48</c:v>
                </c:pt>
                <c:pt idx="16">
                  <c:v>48</c:v>
                </c:pt>
                <c:pt idx="17">
                  <c:v>41</c:v>
                </c:pt>
                <c:pt idx="18">
                  <c:v>44</c:v>
                </c:pt>
                <c:pt idx="19">
                  <c:v>34</c:v>
                </c:pt>
                <c:pt idx="20">
                  <c:v>48</c:v>
                </c:pt>
                <c:pt idx="21">
                  <c:v>38</c:v>
                </c:pt>
                <c:pt idx="22">
                  <c:v>39</c:v>
                </c:pt>
                <c:pt idx="23">
                  <c:v>46</c:v>
                </c:pt>
                <c:pt idx="24">
                  <c:v>49</c:v>
                </c:pt>
                <c:pt idx="25">
                  <c:v>47</c:v>
                </c:pt>
                <c:pt idx="26">
                  <c:v>52</c:v>
                </c:pt>
                <c:pt idx="27">
                  <c:v>37</c:v>
                </c:pt>
                <c:pt idx="28">
                  <c:v>42</c:v>
                </c:pt>
                <c:pt idx="29">
                  <c:v>28</c:v>
                </c:pt>
                <c:pt idx="30">
                  <c:v>26</c:v>
                </c:pt>
              </c:numCache>
            </c:numRef>
          </c:val>
          <c:smooth val="0"/>
          <c:extLst>
            <c:ext xmlns:c16="http://schemas.microsoft.com/office/drawing/2014/chart" uri="{C3380CC4-5D6E-409C-BE32-E72D297353CC}">
              <c16:uniqueId val="{00000000-9A99-40DE-9E26-72118A58A502}"/>
            </c:ext>
          </c:extLst>
        </c:ser>
        <c:dLbls>
          <c:showLegendKey val="0"/>
          <c:showVal val="0"/>
          <c:showCatName val="0"/>
          <c:showSerName val="0"/>
          <c:showPercent val="0"/>
          <c:showBubbleSize val="0"/>
        </c:dLbls>
        <c:marker val="1"/>
        <c:smooth val="0"/>
        <c:axId val="382084128"/>
        <c:axId val="382085088"/>
      </c:lineChart>
      <c:catAx>
        <c:axId val="3820841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085088"/>
        <c:crosses val="autoZero"/>
        <c:auto val="1"/>
        <c:lblAlgn val="ctr"/>
        <c:lblOffset val="100"/>
        <c:noMultiLvlLbl val="0"/>
      </c:catAx>
      <c:valAx>
        <c:axId val="382085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0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 Dashboard.xlsx]Charts and slicers!PivotTable4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Quantity per sales</a:t>
            </a:r>
            <a:r>
              <a:rPr lang="en-US" baseline="0"/>
              <a:t> rep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and slicers'!$B$73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 and slicers'!$A$74:$A$79</c:f>
              <c:strCache>
                <c:ptCount val="5"/>
                <c:pt idx="0">
                  <c:v>Bob</c:v>
                </c:pt>
                <c:pt idx="1">
                  <c:v>John</c:v>
                </c:pt>
                <c:pt idx="2">
                  <c:v>Laura</c:v>
                </c:pt>
                <c:pt idx="3">
                  <c:v>Mark</c:v>
                </c:pt>
                <c:pt idx="4">
                  <c:v>Stacey</c:v>
                </c:pt>
              </c:strCache>
            </c:strRef>
          </c:cat>
          <c:val>
            <c:numRef>
              <c:f>'Charts and slicers'!$B$74:$B$79</c:f>
              <c:numCache>
                <c:formatCode>General</c:formatCode>
                <c:ptCount val="5"/>
                <c:pt idx="0">
                  <c:v>3594</c:v>
                </c:pt>
                <c:pt idx="1">
                  <c:v>3603</c:v>
                </c:pt>
                <c:pt idx="2">
                  <c:v>2921</c:v>
                </c:pt>
                <c:pt idx="3">
                  <c:v>3058</c:v>
                </c:pt>
                <c:pt idx="4">
                  <c:v>3489</c:v>
                </c:pt>
              </c:numCache>
            </c:numRef>
          </c:val>
          <c:extLst>
            <c:ext xmlns:c16="http://schemas.microsoft.com/office/drawing/2014/chart" uri="{C3380CC4-5D6E-409C-BE32-E72D297353CC}">
              <c16:uniqueId val="{00000000-78CE-4E96-A591-AFF474A7B146}"/>
            </c:ext>
          </c:extLst>
        </c:ser>
        <c:dLbls>
          <c:showLegendKey val="0"/>
          <c:showVal val="0"/>
          <c:showCatName val="0"/>
          <c:showSerName val="0"/>
          <c:showPercent val="0"/>
          <c:showBubbleSize val="0"/>
        </c:dLbls>
        <c:gapWidth val="115"/>
        <c:overlap val="-20"/>
        <c:axId val="253689983"/>
        <c:axId val="253697183"/>
      </c:barChart>
      <c:catAx>
        <c:axId val="253689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97183"/>
        <c:crosses val="autoZero"/>
        <c:auto val="1"/>
        <c:lblAlgn val="ctr"/>
        <c:lblOffset val="100"/>
        <c:noMultiLvlLbl val="0"/>
      </c:catAx>
      <c:valAx>
        <c:axId val="2536971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8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 Dashboard.xlsx]Charts and slicers!PivotTable5</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and slicers'!$B$87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 and slicers'!$A$88:$A$93</c:f>
              <c:strCache>
                <c:ptCount val="5"/>
                <c:pt idx="0">
                  <c:v>Bob</c:v>
                </c:pt>
                <c:pt idx="1">
                  <c:v>John</c:v>
                </c:pt>
                <c:pt idx="2">
                  <c:v>Laura</c:v>
                </c:pt>
                <c:pt idx="3">
                  <c:v>Mark</c:v>
                </c:pt>
                <c:pt idx="4">
                  <c:v>Stacey</c:v>
                </c:pt>
              </c:strCache>
            </c:strRef>
          </c:cat>
          <c:val>
            <c:numRef>
              <c:f>'Charts and slicers'!$B$88:$B$93</c:f>
              <c:numCache>
                <c:formatCode>General</c:formatCode>
                <c:ptCount val="5"/>
                <c:pt idx="0">
                  <c:v>17.429999999999986</c:v>
                </c:pt>
                <c:pt idx="1">
                  <c:v>17.199999999999967</c:v>
                </c:pt>
                <c:pt idx="2">
                  <c:v>14.379999999999969</c:v>
                </c:pt>
                <c:pt idx="3">
                  <c:v>14.939999999999966</c:v>
                </c:pt>
                <c:pt idx="4">
                  <c:v>16.049999999999979</c:v>
                </c:pt>
              </c:numCache>
            </c:numRef>
          </c:val>
          <c:extLst>
            <c:ext xmlns:c16="http://schemas.microsoft.com/office/drawing/2014/chart" uri="{C3380CC4-5D6E-409C-BE32-E72D297353CC}">
              <c16:uniqueId val="{00000000-9FAA-4469-B122-07B81B691F14}"/>
            </c:ext>
          </c:extLst>
        </c:ser>
        <c:dLbls>
          <c:showLegendKey val="0"/>
          <c:showVal val="0"/>
          <c:showCatName val="0"/>
          <c:showSerName val="0"/>
          <c:showPercent val="0"/>
          <c:showBubbleSize val="0"/>
        </c:dLbls>
        <c:gapWidth val="115"/>
        <c:overlap val="-20"/>
        <c:axId val="253698143"/>
        <c:axId val="253705343"/>
      </c:barChart>
      <c:catAx>
        <c:axId val="2536981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705343"/>
        <c:crosses val="autoZero"/>
        <c:auto val="1"/>
        <c:lblAlgn val="ctr"/>
        <c:lblOffset val="100"/>
        <c:noMultiLvlLbl val="0"/>
      </c:catAx>
      <c:valAx>
        <c:axId val="2537053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9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548640</xdr:colOff>
      <xdr:row>1</xdr:row>
      <xdr:rowOff>87630</xdr:rowOff>
    </xdr:from>
    <xdr:to>
      <xdr:col>11</xdr:col>
      <xdr:colOff>243840</xdr:colOff>
      <xdr:row>16</xdr:row>
      <xdr:rowOff>87630</xdr:rowOff>
    </xdr:to>
    <xdr:graphicFrame macro="">
      <xdr:nvGraphicFramePr>
        <xdr:cNvPr id="2" name="Chart 1">
          <a:extLst>
            <a:ext uri="{FF2B5EF4-FFF2-40B4-BE49-F238E27FC236}">
              <a16:creationId xmlns:a16="http://schemas.microsoft.com/office/drawing/2014/main" id="{CA0B2B2F-8EC3-F279-FC19-BA261D119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35</xdr:row>
      <xdr:rowOff>41910</xdr:rowOff>
    </xdr:from>
    <xdr:to>
      <xdr:col>11</xdr:col>
      <xdr:colOff>510540</xdr:colOff>
      <xdr:row>49</xdr:row>
      <xdr:rowOff>38100</xdr:rowOff>
    </xdr:to>
    <xdr:graphicFrame macro="">
      <xdr:nvGraphicFramePr>
        <xdr:cNvPr id="3" name="Chart 2">
          <a:extLst>
            <a:ext uri="{FF2B5EF4-FFF2-40B4-BE49-F238E27FC236}">
              <a16:creationId xmlns:a16="http://schemas.microsoft.com/office/drawing/2014/main" id="{1F13B1A1-7B28-E87E-13E0-B36E5AD91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579120</xdr:colOff>
      <xdr:row>51</xdr:row>
      <xdr:rowOff>179070</xdr:rowOff>
    </xdr:from>
    <xdr:to>
      <xdr:col>11</xdr:col>
      <xdr:colOff>274320</xdr:colOff>
      <xdr:row>66</xdr:row>
      <xdr:rowOff>179070</xdr:rowOff>
    </xdr:to>
    <xdr:graphicFrame macro="">
      <xdr:nvGraphicFramePr>
        <xdr:cNvPr id="4" name="Chart 3">
          <a:extLst>
            <a:ext uri="{FF2B5EF4-FFF2-40B4-BE49-F238E27FC236}">
              <a16:creationId xmlns:a16="http://schemas.microsoft.com/office/drawing/2014/main" id="{5AC2E202-5B19-A377-30A4-EFB47E45A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205740</xdr:colOff>
      <xdr:row>69</xdr:row>
      <xdr:rowOff>34290</xdr:rowOff>
    </xdr:from>
    <xdr:to>
      <xdr:col>11</xdr:col>
      <xdr:colOff>510540</xdr:colOff>
      <xdr:row>84</xdr:row>
      <xdr:rowOff>34290</xdr:rowOff>
    </xdr:to>
    <xdr:graphicFrame macro="">
      <xdr:nvGraphicFramePr>
        <xdr:cNvPr id="5" name="Chart 4">
          <a:extLst>
            <a:ext uri="{FF2B5EF4-FFF2-40B4-BE49-F238E27FC236}">
              <a16:creationId xmlns:a16="http://schemas.microsoft.com/office/drawing/2014/main" id="{51A322A1-5D99-5780-FE37-85CC68E1A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213360</xdr:colOff>
      <xdr:row>86</xdr:row>
      <xdr:rowOff>34290</xdr:rowOff>
    </xdr:from>
    <xdr:to>
      <xdr:col>11</xdr:col>
      <xdr:colOff>518160</xdr:colOff>
      <xdr:row>101</xdr:row>
      <xdr:rowOff>34290</xdr:rowOff>
    </xdr:to>
    <xdr:graphicFrame macro="">
      <xdr:nvGraphicFramePr>
        <xdr:cNvPr id="6" name="Chart 5">
          <a:extLst>
            <a:ext uri="{FF2B5EF4-FFF2-40B4-BE49-F238E27FC236}">
              <a16:creationId xmlns:a16="http://schemas.microsoft.com/office/drawing/2014/main" id="{52410BC5-6F1C-90DC-D249-1F765BA04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0</xdr:colOff>
      <xdr:row>1</xdr:row>
      <xdr:rowOff>76200</xdr:rowOff>
    </xdr:from>
    <xdr:to>
      <xdr:col>15</xdr:col>
      <xdr:colOff>0</xdr:colOff>
      <xdr:row>15</xdr:row>
      <xdr:rowOff>97155</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2C56B0A5-7716-D6CA-F61F-40001FCB6FC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772400" y="259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259080</xdr:colOff>
      <xdr:row>1</xdr:row>
      <xdr:rowOff>137160</xdr:rowOff>
    </xdr:from>
    <xdr:to>
      <xdr:col>18</xdr:col>
      <xdr:colOff>259080</xdr:colOff>
      <xdr:row>15</xdr:row>
      <xdr:rowOff>158115</xdr:rowOff>
    </xdr:to>
    <mc:AlternateContent xmlns:mc="http://schemas.openxmlformats.org/markup-compatibility/2006">
      <mc:Choice xmlns:a14="http://schemas.microsoft.com/office/drawing/2010/main" Requires="a14">
        <xdr:graphicFrame macro="">
          <xdr:nvGraphicFramePr>
            <xdr:cNvPr id="8" name="Item">
              <a:extLst>
                <a:ext uri="{FF2B5EF4-FFF2-40B4-BE49-F238E27FC236}">
                  <a16:creationId xmlns:a16="http://schemas.microsoft.com/office/drawing/2014/main" id="{CD77D191-9FD1-BB95-18DE-223C9BDAF597}"/>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9860280" y="320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525780</xdr:colOff>
      <xdr:row>15</xdr:row>
      <xdr:rowOff>179070</xdr:rowOff>
    </xdr:to>
    <xdr:graphicFrame macro="">
      <xdr:nvGraphicFramePr>
        <xdr:cNvPr id="2" name="Chart 1">
          <a:extLst>
            <a:ext uri="{FF2B5EF4-FFF2-40B4-BE49-F238E27FC236}">
              <a16:creationId xmlns:a16="http://schemas.microsoft.com/office/drawing/2014/main" id="{8F0CE359-F5DC-43C6-AD77-CB6DAF80B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0</xdr:rowOff>
    </xdr:from>
    <xdr:to>
      <xdr:col>7</xdr:col>
      <xdr:colOff>556260</xdr:colOff>
      <xdr:row>29</xdr:row>
      <xdr:rowOff>22860</xdr:rowOff>
    </xdr:to>
    <xdr:graphicFrame macro="">
      <xdr:nvGraphicFramePr>
        <xdr:cNvPr id="3" name="Chart 2">
          <a:extLst>
            <a:ext uri="{FF2B5EF4-FFF2-40B4-BE49-F238E27FC236}">
              <a16:creationId xmlns:a16="http://schemas.microsoft.com/office/drawing/2014/main" id="{39772AFE-A826-4168-8736-FA8F56FC0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594360</xdr:colOff>
      <xdr:row>8</xdr:row>
      <xdr:rowOff>160021</xdr:rowOff>
    </xdr:from>
    <xdr:to>
      <xdr:col>12</xdr:col>
      <xdr:colOff>586740</xdr:colOff>
      <xdr:row>15</xdr:row>
      <xdr:rowOff>68580</xdr:rowOff>
    </xdr:to>
    <mc:AlternateContent xmlns:mc="http://schemas.openxmlformats.org/markup-compatibility/2006">
      <mc:Choice xmlns:a14="http://schemas.microsoft.com/office/drawing/2010/main" Requires="a14">
        <xdr:graphicFrame macro="">
          <xdr:nvGraphicFramePr>
            <xdr:cNvPr id="4" name="Item 1">
              <a:extLst>
                <a:ext uri="{FF2B5EF4-FFF2-40B4-BE49-F238E27FC236}">
                  <a16:creationId xmlns:a16="http://schemas.microsoft.com/office/drawing/2014/main" id="{8133CF95-9655-4A6B-BCFD-8802BC9FC4C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4861560" y="1623061"/>
              <a:ext cx="28956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2</xdr:row>
      <xdr:rowOff>15241</xdr:rowOff>
    </xdr:from>
    <xdr:to>
      <xdr:col>15</xdr:col>
      <xdr:colOff>304800</xdr:colOff>
      <xdr:row>15</xdr:row>
      <xdr:rowOff>121921</xdr:rowOff>
    </xdr:to>
    <mc:AlternateContent xmlns:mc="http://schemas.openxmlformats.org/markup-compatibility/2006">
      <mc:Choice xmlns:a14="http://schemas.microsoft.com/office/drawing/2010/main" Requires="a14">
        <xdr:graphicFrame macro="">
          <xdr:nvGraphicFramePr>
            <xdr:cNvPr id="5" name="State 1">
              <a:extLst>
                <a:ext uri="{FF2B5EF4-FFF2-40B4-BE49-F238E27FC236}">
                  <a16:creationId xmlns:a16="http://schemas.microsoft.com/office/drawing/2014/main" id="{5FF0D4CF-028E-402E-B1E4-C346CC47F05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7772400" y="381001"/>
              <a:ext cx="1531620" cy="248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586740</xdr:colOff>
      <xdr:row>15</xdr:row>
      <xdr:rowOff>144780</xdr:rowOff>
    </xdr:from>
    <xdr:to>
      <xdr:col>24</xdr:col>
      <xdr:colOff>472440</xdr:colOff>
      <xdr:row>29</xdr:row>
      <xdr:rowOff>15240</xdr:rowOff>
    </xdr:to>
    <xdr:graphicFrame macro="">
      <xdr:nvGraphicFramePr>
        <xdr:cNvPr id="6" name="Chart 5">
          <a:extLst>
            <a:ext uri="{FF2B5EF4-FFF2-40B4-BE49-F238E27FC236}">
              <a16:creationId xmlns:a16="http://schemas.microsoft.com/office/drawing/2014/main" id="{0FC3E7C2-9A39-4AFC-882B-0B09D5CF5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243840</xdr:colOff>
      <xdr:row>1</xdr:row>
      <xdr:rowOff>152400</xdr:rowOff>
    </xdr:from>
    <xdr:to>
      <xdr:col>19</xdr:col>
      <xdr:colOff>541020</xdr:colOff>
      <xdr:row>15</xdr:row>
      <xdr:rowOff>121920</xdr:rowOff>
    </xdr:to>
    <xdr:graphicFrame macro="">
      <xdr:nvGraphicFramePr>
        <xdr:cNvPr id="7" name="Chart 6">
          <a:extLst>
            <a:ext uri="{FF2B5EF4-FFF2-40B4-BE49-F238E27FC236}">
              <a16:creationId xmlns:a16="http://schemas.microsoft.com/office/drawing/2014/main" id="{77EA5C94-9D2E-4931-BFC7-44F83C6A8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312420</xdr:colOff>
      <xdr:row>1</xdr:row>
      <xdr:rowOff>175260</xdr:rowOff>
    </xdr:from>
    <xdr:to>
      <xdr:col>24</xdr:col>
      <xdr:colOff>426720</xdr:colOff>
      <xdr:row>15</xdr:row>
      <xdr:rowOff>121920</xdr:rowOff>
    </xdr:to>
    <xdr:graphicFrame macro="">
      <xdr:nvGraphicFramePr>
        <xdr:cNvPr id="8" name="Chart 7">
          <a:extLst>
            <a:ext uri="{FF2B5EF4-FFF2-40B4-BE49-F238E27FC236}">
              <a16:creationId xmlns:a16="http://schemas.microsoft.com/office/drawing/2014/main" id="{49B77FFD-AA6D-402E-BB17-52B71639E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gupta" refreshedDate="45943.72420196759" createdVersion="8" refreshedVersion="8" minRefreshableVersion="3" recordCount="1303" xr:uid="{0F1AC35B-0DE3-4F48-91DE-A8F149A1F912}">
  <cacheSource type="worksheet">
    <worksheetSource name="Table1_1"/>
  </cacheSource>
  <cacheFields count="8">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0" maxValue="230"/>
    </cacheField>
    <cacheField name="Commission" numFmtId="0">
      <sharedItems containsSemiMixedTypes="0" containsString="0" containsNumber="1" minValue="0.01" maxValue="0.12" count="12">
        <n v="0.01"/>
        <n v="0.05"/>
        <n v="0.11"/>
        <n v="0.03"/>
        <n v="0.02"/>
        <n v="0.08"/>
        <n v="0.1"/>
        <n v="0.09"/>
        <n v="7.0000000000000007E-2"/>
        <n v="0.06"/>
        <n v="0.04"/>
        <n v="0.12"/>
      </sharedItems>
    </cacheField>
    <cacheField name="State" numFmtId="0">
      <sharedItems count="12">
        <s v="Meghalaya"/>
        <s v="Uttar Pradesh"/>
        <s v="Maharashtra"/>
        <s v="Delhi"/>
        <s v="West Bengal"/>
        <s v="Bihar"/>
        <s v="Goa"/>
        <s v="Karnataka"/>
        <s v="Gujarat"/>
        <s v="Jharkhand"/>
        <s v="Haryana"/>
        <s v="Kerala"/>
      </sharedItems>
    </cacheField>
    <cacheField name="Total sales" numFmtId="0">
      <sharedItems containsSemiMixedTypes="0" containsString="0" containsNumber="1" containsInteger="1" minValue="32" maxValue="5290"/>
    </cacheField>
  </cacheFields>
  <extLst>
    <ext xmlns:x14="http://schemas.microsoft.com/office/spreadsheetml/2009/9/main" uri="{725AE2AE-9491-48be-B2B4-4EB974FC3084}">
      <x14:pivotCacheDefinition pivotCacheId="120191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3">
  <r>
    <x v="0"/>
    <x v="0"/>
    <x v="0"/>
    <n v="6"/>
    <n v="80"/>
    <x v="0"/>
    <x v="0"/>
    <n v="480"/>
  </r>
  <r>
    <x v="0"/>
    <x v="1"/>
    <x v="1"/>
    <n v="20"/>
    <n v="10"/>
    <x v="1"/>
    <x v="1"/>
    <n v="200"/>
  </r>
  <r>
    <x v="0"/>
    <x v="2"/>
    <x v="1"/>
    <n v="22"/>
    <n v="230"/>
    <x v="2"/>
    <x v="2"/>
    <n v="5060"/>
  </r>
  <r>
    <x v="0"/>
    <x v="2"/>
    <x v="0"/>
    <n v="8"/>
    <n v="230"/>
    <x v="3"/>
    <x v="3"/>
    <n v="1840"/>
  </r>
  <r>
    <x v="0"/>
    <x v="2"/>
    <x v="2"/>
    <n v="12"/>
    <n v="230"/>
    <x v="3"/>
    <x v="4"/>
    <n v="2760"/>
  </r>
  <r>
    <x v="0"/>
    <x v="0"/>
    <x v="3"/>
    <n v="19"/>
    <n v="80"/>
    <x v="4"/>
    <x v="5"/>
    <n v="1520"/>
  </r>
  <r>
    <x v="0"/>
    <x v="3"/>
    <x v="4"/>
    <n v="17"/>
    <n v="16"/>
    <x v="5"/>
    <x v="6"/>
    <n v="272"/>
  </r>
  <r>
    <x v="0"/>
    <x v="4"/>
    <x v="3"/>
    <n v="7"/>
    <n v="150"/>
    <x v="1"/>
    <x v="7"/>
    <n v="1050"/>
  </r>
  <r>
    <x v="0"/>
    <x v="4"/>
    <x v="3"/>
    <n v="20"/>
    <n v="150"/>
    <x v="6"/>
    <x v="8"/>
    <n v="3000"/>
  </r>
  <r>
    <x v="0"/>
    <x v="3"/>
    <x v="0"/>
    <n v="21"/>
    <n v="16"/>
    <x v="7"/>
    <x v="9"/>
    <n v="336"/>
  </r>
  <r>
    <x v="0"/>
    <x v="2"/>
    <x v="1"/>
    <n v="7"/>
    <n v="230"/>
    <x v="0"/>
    <x v="10"/>
    <n v="1610"/>
  </r>
  <r>
    <x v="1"/>
    <x v="0"/>
    <x v="3"/>
    <n v="7"/>
    <n v="80"/>
    <x v="8"/>
    <x v="11"/>
    <n v="560"/>
  </r>
  <r>
    <x v="1"/>
    <x v="0"/>
    <x v="4"/>
    <n v="9"/>
    <n v="80"/>
    <x v="4"/>
    <x v="0"/>
    <n v="720"/>
  </r>
  <r>
    <x v="1"/>
    <x v="1"/>
    <x v="4"/>
    <n v="16"/>
    <n v="40"/>
    <x v="7"/>
    <x v="1"/>
    <n v="640"/>
  </r>
  <r>
    <x v="1"/>
    <x v="4"/>
    <x v="1"/>
    <n v="23"/>
    <n v="150"/>
    <x v="2"/>
    <x v="2"/>
    <n v="3450"/>
  </r>
  <r>
    <x v="1"/>
    <x v="3"/>
    <x v="3"/>
    <n v="22"/>
    <n v="16"/>
    <x v="3"/>
    <x v="3"/>
    <n v="352"/>
  </r>
  <r>
    <x v="1"/>
    <x v="1"/>
    <x v="3"/>
    <n v="23"/>
    <n v="40"/>
    <x v="9"/>
    <x v="4"/>
    <n v="920"/>
  </r>
  <r>
    <x v="1"/>
    <x v="0"/>
    <x v="0"/>
    <n v="20"/>
    <n v="80"/>
    <x v="0"/>
    <x v="5"/>
    <n v="1600"/>
  </r>
  <r>
    <x v="2"/>
    <x v="0"/>
    <x v="3"/>
    <n v="11"/>
    <n v="80"/>
    <x v="0"/>
    <x v="6"/>
    <n v="880"/>
  </r>
  <r>
    <x v="2"/>
    <x v="1"/>
    <x v="3"/>
    <n v="9"/>
    <n v="40"/>
    <x v="9"/>
    <x v="7"/>
    <n v="360"/>
  </r>
  <r>
    <x v="2"/>
    <x v="0"/>
    <x v="4"/>
    <n v="16"/>
    <n v="80"/>
    <x v="7"/>
    <x v="8"/>
    <n v="1280"/>
  </r>
  <r>
    <x v="2"/>
    <x v="0"/>
    <x v="2"/>
    <n v="10"/>
    <n v="80"/>
    <x v="5"/>
    <x v="9"/>
    <n v="800"/>
  </r>
  <r>
    <x v="2"/>
    <x v="3"/>
    <x v="2"/>
    <n v="12"/>
    <n v="16"/>
    <x v="2"/>
    <x v="10"/>
    <n v="192"/>
  </r>
  <r>
    <x v="2"/>
    <x v="4"/>
    <x v="3"/>
    <n v="6"/>
    <n v="150"/>
    <x v="3"/>
    <x v="11"/>
    <n v="900"/>
  </r>
  <r>
    <x v="2"/>
    <x v="3"/>
    <x v="2"/>
    <n v="11"/>
    <n v="16"/>
    <x v="10"/>
    <x v="0"/>
    <n v="176"/>
  </r>
  <r>
    <x v="2"/>
    <x v="0"/>
    <x v="3"/>
    <n v="22"/>
    <n v="80"/>
    <x v="3"/>
    <x v="1"/>
    <n v="1760"/>
  </r>
  <r>
    <x v="2"/>
    <x v="3"/>
    <x v="1"/>
    <n v="7"/>
    <n v="16"/>
    <x v="5"/>
    <x v="2"/>
    <n v="112"/>
  </r>
  <r>
    <x v="2"/>
    <x v="1"/>
    <x v="3"/>
    <n v="13"/>
    <n v="40"/>
    <x v="7"/>
    <x v="3"/>
    <n v="520"/>
  </r>
  <r>
    <x v="2"/>
    <x v="2"/>
    <x v="3"/>
    <n v="8"/>
    <n v="230"/>
    <x v="1"/>
    <x v="4"/>
    <n v="1840"/>
  </r>
  <r>
    <x v="2"/>
    <x v="3"/>
    <x v="3"/>
    <n v="14"/>
    <n v="16"/>
    <x v="11"/>
    <x v="5"/>
    <n v="224"/>
  </r>
  <r>
    <x v="2"/>
    <x v="1"/>
    <x v="4"/>
    <n v="16"/>
    <n v="40"/>
    <x v="7"/>
    <x v="6"/>
    <n v="640"/>
  </r>
  <r>
    <x v="3"/>
    <x v="4"/>
    <x v="1"/>
    <n v="16"/>
    <n v="150"/>
    <x v="1"/>
    <x v="7"/>
    <n v="2400"/>
  </r>
  <r>
    <x v="3"/>
    <x v="1"/>
    <x v="1"/>
    <n v="12"/>
    <n v="40"/>
    <x v="6"/>
    <x v="8"/>
    <n v="480"/>
  </r>
  <r>
    <x v="3"/>
    <x v="0"/>
    <x v="4"/>
    <n v="17"/>
    <n v="80"/>
    <x v="8"/>
    <x v="9"/>
    <n v="1360"/>
  </r>
  <r>
    <x v="3"/>
    <x v="2"/>
    <x v="3"/>
    <n v="19"/>
    <n v="230"/>
    <x v="9"/>
    <x v="10"/>
    <n v="4370"/>
  </r>
  <r>
    <x v="3"/>
    <x v="2"/>
    <x v="4"/>
    <n v="22"/>
    <n v="230"/>
    <x v="6"/>
    <x v="11"/>
    <n v="5060"/>
  </r>
  <r>
    <x v="3"/>
    <x v="1"/>
    <x v="3"/>
    <n v="22"/>
    <n v="40"/>
    <x v="0"/>
    <x v="0"/>
    <n v="880"/>
  </r>
  <r>
    <x v="3"/>
    <x v="3"/>
    <x v="3"/>
    <n v="10"/>
    <n v="16"/>
    <x v="10"/>
    <x v="1"/>
    <n v="160"/>
  </r>
  <r>
    <x v="3"/>
    <x v="1"/>
    <x v="1"/>
    <n v="4"/>
    <n v="40"/>
    <x v="11"/>
    <x v="2"/>
    <n v="160"/>
  </r>
  <r>
    <x v="3"/>
    <x v="1"/>
    <x v="4"/>
    <n v="20"/>
    <n v="40"/>
    <x v="1"/>
    <x v="3"/>
    <n v="800"/>
  </r>
  <r>
    <x v="4"/>
    <x v="2"/>
    <x v="3"/>
    <n v="23"/>
    <n v="230"/>
    <x v="9"/>
    <x v="4"/>
    <n v="5290"/>
  </r>
  <r>
    <x v="4"/>
    <x v="1"/>
    <x v="2"/>
    <n v="20"/>
    <n v="40"/>
    <x v="0"/>
    <x v="5"/>
    <n v="800"/>
  </r>
  <r>
    <x v="4"/>
    <x v="4"/>
    <x v="2"/>
    <n v="20"/>
    <n v="150"/>
    <x v="10"/>
    <x v="6"/>
    <n v="3000"/>
  </r>
  <r>
    <x v="4"/>
    <x v="0"/>
    <x v="1"/>
    <n v="9"/>
    <n v="80"/>
    <x v="3"/>
    <x v="7"/>
    <n v="720"/>
  </r>
  <r>
    <x v="4"/>
    <x v="2"/>
    <x v="0"/>
    <n v="7"/>
    <n v="230"/>
    <x v="4"/>
    <x v="8"/>
    <n v="1610"/>
  </r>
  <r>
    <x v="4"/>
    <x v="2"/>
    <x v="0"/>
    <n v="3"/>
    <n v="230"/>
    <x v="9"/>
    <x v="9"/>
    <n v="690"/>
  </r>
  <r>
    <x v="4"/>
    <x v="4"/>
    <x v="0"/>
    <n v="13"/>
    <n v="150"/>
    <x v="1"/>
    <x v="10"/>
    <n v="1950"/>
  </r>
  <r>
    <x v="4"/>
    <x v="0"/>
    <x v="0"/>
    <n v="17"/>
    <n v="80"/>
    <x v="7"/>
    <x v="11"/>
    <n v="1360"/>
  </r>
  <r>
    <x v="5"/>
    <x v="1"/>
    <x v="3"/>
    <n v="18"/>
    <n v="40"/>
    <x v="9"/>
    <x v="0"/>
    <n v="720"/>
  </r>
  <r>
    <x v="5"/>
    <x v="3"/>
    <x v="2"/>
    <n v="23"/>
    <n v="16"/>
    <x v="2"/>
    <x v="1"/>
    <n v="368"/>
  </r>
  <r>
    <x v="5"/>
    <x v="2"/>
    <x v="2"/>
    <n v="20"/>
    <n v="230"/>
    <x v="9"/>
    <x v="2"/>
    <n v="4600"/>
  </r>
  <r>
    <x v="5"/>
    <x v="3"/>
    <x v="0"/>
    <n v="11"/>
    <n v="16"/>
    <x v="7"/>
    <x v="3"/>
    <n v="176"/>
  </r>
  <r>
    <x v="5"/>
    <x v="4"/>
    <x v="4"/>
    <n v="15"/>
    <n v="150"/>
    <x v="8"/>
    <x v="4"/>
    <n v="2250"/>
  </r>
  <r>
    <x v="5"/>
    <x v="2"/>
    <x v="1"/>
    <n v="6"/>
    <n v="230"/>
    <x v="6"/>
    <x v="5"/>
    <n v="1380"/>
  </r>
  <r>
    <x v="5"/>
    <x v="1"/>
    <x v="0"/>
    <n v="22"/>
    <n v="40"/>
    <x v="4"/>
    <x v="6"/>
    <n v="880"/>
  </r>
  <r>
    <x v="5"/>
    <x v="1"/>
    <x v="0"/>
    <n v="15"/>
    <n v="40"/>
    <x v="9"/>
    <x v="7"/>
    <n v="600"/>
  </r>
  <r>
    <x v="5"/>
    <x v="3"/>
    <x v="2"/>
    <n v="12"/>
    <n v="16"/>
    <x v="3"/>
    <x v="8"/>
    <n v="192"/>
  </r>
  <r>
    <x v="5"/>
    <x v="3"/>
    <x v="4"/>
    <n v="22"/>
    <n v="16"/>
    <x v="11"/>
    <x v="9"/>
    <n v="352"/>
  </r>
  <r>
    <x v="5"/>
    <x v="0"/>
    <x v="0"/>
    <n v="21"/>
    <n v="80"/>
    <x v="10"/>
    <x v="10"/>
    <n v="1680"/>
  </r>
  <r>
    <x v="5"/>
    <x v="4"/>
    <x v="0"/>
    <n v="22"/>
    <n v="150"/>
    <x v="1"/>
    <x v="11"/>
    <n v="3300"/>
  </r>
  <r>
    <x v="5"/>
    <x v="0"/>
    <x v="4"/>
    <n v="21"/>
    <n v="80"/>
    <x v="7"/>
    <x v="0"/>
    <n v="1680"/>
  </r>
  <r>
    <x v="5"/>
    <x v="0"/>
    <x v="3"/>
    <n v="10"/>
    <n v="80"/>
    <x v="6"/>
    <x v="1"/>
    <n v="800"/>
  </r>
  <r>
    <x v="5"/>
    <x v="2"/>
    <x v="1"/>
    <n v="15"/>
    <n v="230"/>
    <x v="7"/>
    <x v="2"/>
    <n v="3450"/>
  </r>
  <r>
    <x v="6"/>
    <x v="0"/>
    <x v="0"/>
    <n v="14"/>
    <n v="80"/>
    <x v="5"/>
    <x v="3"/>
    <n v="1120"/>
  </r>
  <r>
    <x v="6"/>
    <x v="0"/>
    <x v="4"/>
    <n v="10"/>
    <n v="80"/>
    <x v="9"/>
    <x v="4"/>
    <n v="800"/>
  </r>
  <r>
    <x v="6"/>
    <x v="4"/>
    <x v="0"/>
    <n v="5"/>
    <n v="150"/>
    <x v="2"/>
    <x v="5"/>
    <n v="750"/>
  </r>
  <r>
    <x v="6"/>
    <x v="2"/>
    <x v="3"/>
    <n v="3"/>
    <n v="230"/>
    <x v="0"/>
    <x v="6"/>
    <n v="690"/>
  </r>
  <r>
    <x v="6"/>
    <x v="1"/>
    <x v="3"/>
    <n v="4"/>
    <n v="40"/>
    <x v="1"/>
    <x v="7"/>
    <n v="160"/>
  </r>
  <r>
    <x v="6"/>
    <x v="4"/>
    <x v="2"/>
    <n v="18"/>
    <n v="150"/>
    <x v="9"/>
    <x v="8"/>
    <n v="2700"/>
  </r>
  <r>
    <x v="6"/>
    <x v="1"/>
    <x v="4"/>
    <n v="20"/>
    <n v="40"/>
    <x v="6"/>
    <x v="9"/>
    <n v="800"/>
  </r>
  <r>
    <x v="6"/>
    <x v="0"/>
    <x v="3"/>
    <n v="16"/>
    <n v="80"/>
    <x v="1"/>
    <x v="0"/>
    <n v="1280"/>
  </r>
  <r>
    <x v="6"/>
    <x v="1"/>
    <x v="2"/>
    <n v="4"/>
    <n v="40"/>
    <x v="9"/>
    <x v="1"/>
    <n v="160"/>
  </r>
  <r>
    <x v="6"/>
    <x v="1"/>
    <x v="1"/>
    <n v="4"/>
    <n v="40"/>
    <x v="3"/>
    <x v="2"/>
    <n v="160"/>
  </r>
  <r>
    <x v="6"/>
    <x v="1"/>
    <x v="1"/>
    <n v="15"/>
    <n v="40"/>
    <x v="4"/>
    <x v="3"/>
    <n v="600"/>
  </r>
  <r>
    <x v="6"/>
    <x v="1"/>
    <x v="2"/>
    <n v="20"/>
    <n v="40"/>
    <x v="0"/>
    <x v="4"/>
    <n v="800"/>
  </r>
  <r>
    <x v="6"/>
    <x v="3"/>
    <x v="4"/>
    <n v="14"/>
    <n v="16"/>
    <x v="9"/>
    <x v="5"/>
    <n v="224"/>
  </r>
  <r>
    <x v="7"/>
    <x v="4"/>
    <x v="2"/>
    <n v="11"/>
    <n v="150"/>
    <x v="2"/>
    <x v="6"/>
    <n v="1650"/>
  </r>
  <r>
    <x v="7"/>
    <x v="4"/>
    <x v="2"/>
    <n v="9"/>
    <n v="150"/>
    <x v="4"/>
    <x v="7"/>
    <n v="1350"/>
  </r>
  <r>
    <x v="7"/>
    <x v="3"/>
    <x v="4"/>
    <n v="11"/>
    <n v="16"/>
    <x v="11"/>
    <x v="8"/>
    <n v="176"/>
  </r>
  <r>
    <x v="7"/>
    <x v="1"/>
    <x v="2"/>
    <n v="13"/>
    <n v="40"/>
    <x v="4"/>
    <x v="9"/>
    <n v="520"/>
  </r>
  <r>
    <x v="7"/>
    <x v="1"/>
    <x v="2"/>
    <n v="4"/>
    <n v="40"/>
    <x v="6"/>
    <x v="10"/>
    <n v="160"/>
  </r>
  <r>
    <x v="7"/>
    <x v="2"/>
    <x v="0"/>
    <n v="3"/>
    <n v="230"/>
    <x v="2"/>
    <x v="11"/>
    <n v="690"/>
  </r>
  <r>
    <x v="7"/>
    <x v="0"/>
    <x v="2"/>
    <n v="6"/>
    <n v="80"/>
    <x v="7"/>
    <x v="0"/>
    <n v="480"/>
  </r>
  <r>
    <x v="7"/>
    <x v="4"/>
    <x v="0"/>
    <n v="9"/>
    <n v="150"/>
    <x v="6"/>
    <x v="1"/>
    <n v="1350"/>
  </r>
  <r>
    <x v="7"/>
    <x v="0"/>
    <x v="1"/>
    <n v="14"/>
    <n v="80"/>
    <x v="2"/>
    <x v="2"/>
    <n v="1120"/>
  </r>
  <r>
    <x v="7"/>
    <x v="0"/>
    <x v="0"/>
    <n v="18"/>
    <n v="80"/>
    <x v="4"/>
    <x v="3"/>
    <n v="1440"/>
  </r>
  <r>
    <x v="7"/>
    <x v="1"/>
    <x v="0"/>
    <n v="20"/>
    <n v="40"/>
    <x v="10"/>
    <x v="4"/>
    <n v="800"/>
  </r>
  <r>
    <x v="8"/>
    <x v="3"/>
    <x v="2"/>
    <n v="8"/>
    <n v="16"/>
    <x v="3"/>
    <x v="5"/>
    <n v="128"/>
  </r>
  <r>
    <x v="8"/>
    <x v="0"/>
    <x v="1"/>
    <n v="14"/>
    <n v="80"/>
    <x v="9"/>
    <x v="6"/>
    <n v="1120"/>
  </r>
  <r>
    <x v="8"/>
    <x v="4"/>
    <x v="0"/>
    <n v="20"/>
    <n v="150"/>
    <x v="0"/>
    <x v="7"/>
    <n v="3000"/>
  </r>
  <r>
    <x v="8"/>
    <x v="1"/>
    <x v="3"/>
    <n v="15"/>
    <n v="40"/>
    <x v="3"/>
    <x v="8"/>
    <n v="600"/>
  </r>
  <r>
    <x v="8"/>
    <x v="1"/>
    <x v="1"/>
    <n v="18"/>
    <n v="40"/>
    <x v="5"/>
    <x v="9"/>
    <n v="720"/>
  </r>
  <r>
    <x v="8"/>
    <x v="1"/>
    <x v="4"/>
    <n v="11"/>
    <n v="40"/>
    <x v="1"/>
    <x v="10"/>
    <n v="440"/>
  </r>
  <r>
    <x v="9"/>
    <x v="1"/>
    <x v="4"/>
    <n v="23"/>
    <n v="40"/>
    <x v="10"/>
    <x v="11"/>
    <n v="920"/>
  </r>
  <r>
    <x v="9"/>
    <x v="3"/>
    <x v="4"/>
    <n v="17"/>
    <n v="16"/>
    <x v="6"/>
    <x v="0"/>
    <n v="272"/>
  </r>
  <r>
    <x v="9"/>
    <x v="3"/>
    <x v="1"/>
    <n v="4"/>
    <n v="16"/>
    <x v="8"/>
    <x v="1"/>
    <n v="64"/>
  </r>
  <r>
    <x v="9"/>
    <x v="0"/>
    <x v="2"/>
    <n v="23"/>
    <n v="80"/>
    <x v="1"/>
    <x v="2"/>
    <n v="1840"/>
  </r>
  <r>
    <x v="9"/>
    <x v="2"/>
    <x v="2"/>
    <n v="10"/>
    <n v="230"/>
    <x v="4"/>
    <x v="3"/>
    <n v="2300"/>
  </r>
  <r>
    <x v="9"/>
    <x v="3"/>
    <x v="2"/>
    <n v="14"/>
    <n v="16"/>
    <x v="0"/>
    <x v="4"/>
    <n v="224"/>
  </r>
  <r>
    <x v="9"/>
    <x v="1"/>
    <x v="1"/>
    <n v="19"/>
    <n v="40"/>
    <x v="6"/>
    <x v="5"/>
    <n v="760"/>
  </r>
  <r>
    <x v="9"/>
    <x v="0"/>
    <x v="4"/>
    <n v="22"/>
    <n v="80"/>
    <x v="7"/>
    <x v="6"/>
    <n v="1760"/>
  </r>
  <r>
    <x v="9"/>
    <x v="3"/>
    <x v="0"/>
    <n v="18"/>
    <n v="16"/>
    <x v="1"/>
    <x v="7"/>
    <n v="288"/>
  </r>
  <r>
    <x v="9"/>
    <x v="1"/>
    <x v="0"/>
    <n v="18"/>
    <n v="40"/>
    <x v="2"/>
    <x v="8"/>
    <n v="720"/>
  </r>
  <r>
    <x v="9"/>
    <x v="1"/>
    <x v="4"/>
    <n v="21"/>
    <n v="40"/>
    <x v="0"/>
    <x v="9"/>
    <n v="840"/>
  </r>
  <r>
    <x v="9"/>
    <x v="0"/>
    <x v="0"/>
    <n v="6"/>
    <n v="80"/>
    <x v="8"/>
    <x v="10"/>
    <n v="480"/>
  </r>
  <r>
    <x v="9"/>
    <x v="4"/>
    <x v="4"/>
    <n v="17"/>
    <n v="150"/>
    <x v="4"/>
    <x v="11"/>
    <n v="2550"/>
  </r>
  <r>
    <x v="9"/>
    <x v="0"/>
    <x v="2"/>
    <n v="16"/>
    <n v="80"/>
    <x v="4"/>
    <x v="0"/>
    <n v="1280"/>
  </r>
  <r>
    <x v="9"/>
    <x v="1"/>
    <x v="1"/>
    <n v="15"/>
    <n v="40"/>
    <x v="10"/>
    <x v="1"/>
    <n v="600"/>
  </r>
  <r>
    <x v="9"/>
    <x v="2"/>
    <x v="3"/>
    <n v="2"/>
    <n v="230"/>
    <x v="5"/>
    <x v="2"/>
    <n v="460"/>
  </r>
  <r>
    <x v="9"/>
    <x v="1"/>
    <x v="4"/>
    <n v="3"/>
    <n v="40"/>
    <x v="3"/>
    <x v="3"/>
    <n v="120"/>
  </r>
  <r>
    <x v="9"/>
    <x v="2"/>
    <x v="4"/>
    <n v="21"/>
    <n v="230"/>
    <x v="1"/>
    <x v="4"/>
    <n v="4830"/>
  </r>
  <r>
    <x v="9"/>
    <x v="4"/>
    <x v="0"/>
    <n v="11"/>
    <n v="150"/>
    <x v="1"/>
    <x v="5"/>
    <n v="1650"/>
  </r>
  <r>
    <x v="10"/>
    <x v="4"/>
    <x v="1"/>
    <n v="15"/>
    <n v="150"/>
    <x v="4"/>
    <x v="6"/>
    <n v="2250"/>
  </r>
  <r>
    <x v="10"/>
    <x v="0"/>
    <x v="3"/>
    <n v="16"/>
    <n v="80"/>
    <x v="6"/>
    <x v="7"/>
    <n v="1280"/>
  </r>
  <r>
    <x v="10"/>
    <x v="2"/>
    <x v="4"/>
    <n v="17"/>
    <n v="230"/>
    <x v="2"/>
    <x v="8"/>
    <n v="3910"/>
  </r>
  <r>
    <x v="10"/>
    <x v="1"/>
    <x v="4"/>
    <n v="16"/>
    <n v="40"/>
    <x v="2"/>
    <x v="9"/>
    <n v="640"/>
  </r>
  <r>
    <x v="10"/>
    <x v="0"/>
    <x v="3"/>
    <n v="2"/>
    <n v="80"/>
    <x v="5"/>
    <x v="10"/>
    <n v="160"/>
  </r>
  <r>
    <x v="10"/>
    <x v="4"/>
    <x v="1"/>
    <n v="22"/>
    <n v="150"/>
    <x v="4"/>
    <x v="11"/>
    <n v="3300"/>
  </r>
  <r>
    <x v="10"/>
    <x v="0"/>
    <x v="0"/>
    <n v="16"/>
    <n v="80"/>
    <x v="3"/>
    <x v="0"/>
    <n v="1280"/>
  </r>
  <r>
    <x v="11"/>
    <x v="3"/>
    <x v="0"/>
    <n v="20"/>
    <n v="16"/>
    <x v="2"/>
    <x v="1"/>
    <n v="320"/>
  </r>
  <r>
    <x v="11"/>
    <x v="0"/>
    <x v="4"/>
    <n v="9"/>
    <n v="80"/>
    <x v="8"/>
    <x v="2"/>
    <n v="720"/>
  </r>
  <r>
    <x v="11"/>
    <x v="2"/>
    <x v="4"/>
    <n v="5"/>
    <n v="230"/>
    <x v="11"/>
    <x v="3"/>
    <n v="1150"/>
  </r>
  <r>
    <x v="11"/>
    <x v="3"/>
    <x v="0"/>
    <n v="20"/>
    <n v="16"/>
    <x v="0"/>
    <x v="4"/>
    <n v="320"/>
  </r>
  <r>
    <x v="11"/>
    <x v="3"/>
    <x v="0"/>
    <n v="16"/>
    <n v="16"/>
    <x v="3"/>
    <x v="5"/>
    <n v="256"/>
  </r>
  <r>
    <x v="11"/>
    <x v="4"/>
    <x v="3"/>
    <n v="15"/>
    <n v="150"/>
    <x v="1"/>
    <x v="6"/>
    <n v="2250"/>
  </r>
  <r>
    <x v="11"/>
    <x v="2"/>
    <x v="1"/>
    <n v="19"/>
    <n v="230"/>
    <x v="2"/>
    <x v="7"/>
    <n v="4370"/>
  </r>
  <r>
    <x v="12"/>
    <x v="4"/>
    <x v="2"/>
    <n v="2"/>
    <n v="150"/>
    <x v="4"/>
    <x v="8"/>
    <n v="300"/>
  </r>
  <r>
    <x v="12"/>
    <x v="0"/>
    <x v="4"/>
    <n v="16"/>
    <n v="80"/>
    <x v="1"/>
    <x v="9"/>
    <n v="1280"/>
  </r>
  <r>
    <x v="12"/>
    <x v="1"/>
    <x v="2"/>
    <n v="2"/>
    <n v="40"/>
    <x v="3"/>
    <x v="10"/>
    <n v="80"/>
  </r>
  <r>
    <x v="12"/>
    <x v="0"/>
    <x v="1"/>
    <n v="5"/>
    <n v="80"/>
    <x v="10"/>
    <x v="11"/>
    <n v="400"/>
  </r>
  <r>
    <x v="12"/>
    <x v="2"/>
    <x v="3"/>
    <n v="17"/>
    <n v="230"/>
    <x v="11"/>
    <x v="0"/>
    <n v="3910"/>
  </r>
  <r>
    <x v="12"/>
    <x v="0"/>
    <x v="0"/>
    <n v="8"/>
    <n v="80"/>
    <x v="5"/>
    <x v="1"/>
    <n v="640"/>
  </r>
  <r>
    <x v="12"/>
    <x v="1"/>
    <x v="1"/>
    <n v="4"/>
    <n v="40"/>
    <x v="9"/>
    <x v="2"/>
    <n v="160"/>
  </r>
  <r>
    <x v="12"/>
    <x v="3"/>
    <x v="2"/>
    <n v="17"/>
    <n v="16"/>
    <x v="1"/>
    <x v="3"/>
    <n v="272"/>
  </r>
  <r>
    <x v="12"/>
    <x v="2"/>
    <x v="3"/>
    <n v="8"/>
    <n v="230"/>
    <x v="0"/>
    <x v="4"/>
    <n v="1840"/>
  </r>
  <r>
    <x v="12"/>
    <x v="3"/>
    <x v="4"/>
    <n v="19"/>
    <n v="16"/>
    <x v="4"/>
    <x v="5"/>
    <n v="304"/>
  </r>
  <r>
    <x v="13"/>
    <x v="1"/>
    <x v="0"/>
    <n v="18"/>
    <n v="40"/>
    <x v="9"/>
    <x v="6"/>
    <n v="720"/>
  </r>
  <r>
    <x v="13"/>
    <x v="4"/>
    <x v="4"/>
    <n v="23"/>
    <n v="150"/>
    <x v="5"/>
    <x v="7"/>
    <n v="3450"/>
  </r>
  <r>
    <x v="13"/>
    <x v="2"/>
    <x v="0"/>
    <n v="5"/>
    <n v="230"/>
    <x v="6"/>
    <x v="8"/>
    <n v="1150"/>
  </r>
  <r>
    <x v="13"/>
    <x v="0"/>
    <x v="3"/>
    <n v="21"/>
    <n v="80"/>
    <x v="4"/>
    <x v="9"/>
    <n v="1680"/>
  </r>
  <r>
    <x v="13"/>
    <x v="3"/>
    <x v="2"/>
    <n v="6"/>
    <n v="16"/>
    <x v="8"/>
    <x v="0"/>
    <n v="96"/>
  </r>
  <r>
    <x v="13"/>
    <x v="1"/>
    <x v="0"/>
    <n v="9"/>
    <n v="40"/>
    <x v="0"/>
    <x v="1"/>
    <n v="360"/>
  </r>
  <r>
    <x v="13"/>
    <x v="2"/>
    <x v="1"/>
    <n v="9"/>
    <n v="230"/>
    <x v="3"/>
    <x v="2"/>
    <n v="2070"/>
  </r>
  <r>
    <x v="13"/>
    <x v="2"/>
    <x v="2"/>
    <n v="5"/>
    <n v="230"/>
    <x v="6"/>
    <x v="3"/>
    <n v="1150"/>
  </r>
  <r>
    <x v="13"/>
    <x v="1"/>
    <x v="3"/>
    <n v="7"/>
    <n v="40"/>
    <x v="2"/>
    <x v="4"/>
    <n v="280"/>
  </r>
  <r>
    <x v="13"/>
    <x v="2"/>
    <x v="0"/>
    <n v="20"/>
    <n v="230"/>
    <x v="10"/>
    <x v="5"/>
    <n v="4600"/>
  </r>
  <r>
    <x v="13"/>
    <x v="4"/>
    <x v="0"/>
    <n v="22"/>
    <n v="150"/>
    <x v="8"/>
    <x v="6"/>
    <n v="3300"/>
  </r>
  <r>
    <x v="14"/>
    <x v="2"/>
    <x v="2"/>
    <n v="6"/>
    <n v="230"/>
    <x v="1"/>
    <x v="7"/>
    <n v="1380"/>
  </r>
  <r>
    <x v="14"/>
    <x v="2"/>
    <x v="2"/>
    <n v="15"/>
    <n v="230"/>
    <x v="2"/>
    <x v="8"/>
    <n v="3450"/>
  </r>
  <r>
    <x v="14"/>
    <x v="1"/>
    <x v="1"/>
    <n v="8"/>
    <n v="40"/>
    <x v="7"/>
    <x v="9"/>
    <n v="320"/>
  </r>
  <r>
    <x v="14"/>
    <x v="1"/>
    <x v="0"/>
    <n v="5"/>
    <n v="40"/>
    <x v="9"/>
    <x v="10"/>
    <n v="200"/>
  </r>
  <r>
    <x v="14"/>
    <x v="0"/>
    <x v="4"/>
    <n v="6"/>
    <n v="80"/>
    <x v="7"/>
    <x v="11"/>
    <n v="480"/>
  </r>
  <r>
    <x v="14"/>
    <x v="1"/>
    <x v="3"/>
    <n v="22"/>
    <n v="40"/>
    <x v="0"/>
    <x v="0"/>
    <n v="880"/>
  </r>
  <r>
    <x v="14"/>
    <x v="3"/>
    <x v="0"/>
    <n v="7"/>
    <n v="16"/>
    <x v="5"/>
    <x v="1"/>
    <n v="112"/>
  </r>
  <r>
    <x v="14"/>
    <x v="4"/>
    <x v="2"/>
    <n v="22"/>
    <n v="150"/>
    <x v="10"/>
    <x v="2"/>
    <n v="3300"/>
  </r>
  <r>
    <x v="14"/>
    <x v="3"/>
    <x v="3"/>
    <n v="15"/>
    <n v="16"/>
    <x v="11"/>
    <x v="3"/>
    <n v="240"/>
  </r>
  <r>
    <x v="14"/>
    <x v="0"/>
    <x v="2"/>
    <n v="20"/>
    <n v="80"/>
    <x v="8"/>
    <x v="4"/>
    <n v="1600"/>
  </r>
  <r>
    <x v="14"/>
    <x v="0"/>
    <x v="2"/>
    <n v="7"/>
    <n v="80"/>
    <x v="1"/>
    <x v="5"/>
    <n v="560"/>
  </r>
  <r>
    <x v="14"/>
    <x v="0"/>
    <x v="1"/>
    <n v="10"/>
    <n v="80"/>
    <x v="2"/>
    <x v="6"/>
    <n v="800"/>
  </r>
  <r>
    <x v="14"/>
    <x v="0"/>
    <x v="1"/>
    <n v="2"/>
    <n v="80"/>
    <x v="8"/>
    <x v="7"/>
    <n v="160"/>
  </r>
  <r>
    <x v="14"/>
    <x v="3"/>
    <x v="4"/>
    <n v="23"/>
    <n v="16"/>
    <x v="0"/>
    <x v="8"/>
    <n v="368"/>
  </r>
  <r>
    <x v="14"/>
    <x v="2"/>
    <x v="1"/>
    <n v="12"/>
    <n v="230"/>
    <x v="3"/>
    <x v="9"/>
    <n v="2760"/>
  </r>
  <r>
    <x v="15"/>
    <x v="2"/>
    <x v="0"/>
    <n v="7"/>
    <n v="230"/>
    <x v="5"/>
    <x v="10"/>
    <n v="1610"/>
  </r>
  <r>
    <x v="15"/>
    <x v="1"/>
    <x v="3"/>
    <n v="11"/>
    <n v="40"/>
    <x v="9"/>
    <x v="11"/>
    <n v="440"/>
  </r>
  <r>
    <x v="15"/>
    <x v="2"/>
    <x v="1"/>
    <n v="7"/>
    <n v="230"/>
    <x v="5"/>
    <x v="0"/>
    <n v="1610"/>
  </r>
  <r>
    <x v="15"/>
    <x v="0"/>
    <x v="0"/>
    <n v="8"/>
    <n v="80"/>
    <x v="7"/>
    <x v="1"/>
    <n v="640"/>
  </r>
  <r>
    <x v="15"/>
    <x v="0"/>
    <x v="3"/>
    <n v="16"/>
    <n v="80"/>
    <x v="8"/>
    <x v="2"/>
    <n v="1280"/>
  </r>
  <r>
    <x v="15"/>
    <x v="0"/>
    <x v="2"/>
    <n v="16"/>
    <n v="80"/>
    <x v="10"/>
    <x v="3"/>
    <n v="1280"/>
  </r>
  <r>
    <x v="15"/>
    <x v="3"/>
    <x v="2"/>
    <n v="9"/>
    <n v="16"/>
    <x v="1"/>
    <x v="4"/>
    <n v="144"/>
  </r>
  <r>
    <x v="15"/>
    <x v="4"/>
    <x v="4"/>
    <n v="11"/>
    <n v="150"/>
    <x v="7"/>
    <x v="5"/>
    <n v="1650"/>
  </r>
  <r>
    <x v="15"/>
    <x v="3"/>
    <x v="0"/>
    <n v="4"/>
    <n v="16"/>
    <x v="11"/>
    <x v="6"/>
    <n v="64"/>
  </r>
  <r>
    <x v="15"/>
    <x v="1"/>
    <x v="3"/>
    <n v="15"/>
    <n v="40"/>
    <x v="3"/>
    <x v="7"/>
    <n v="600"/>
  </r>
  <r>
    <x v="15"/>
    <x v="1"/>
    <x v="4"/>
    <n v="20"/>
    <n v="40"/>
    <x v="3"/>
    <x v="8"/>
    <n v="800"/>
  </r>
  <r>
    <x v="16"/>
    <x v="4"/>
    <x v="2"/>
    <n v="9"/>
    <n v="150"/>
    <x v="9"/>
    <x v="9"/>
    <n v="1350"/>
  </r>
  <r>
    <x v="16"/>
    <x v="1"/>
    <x v="1"/>
    <n v="23"/>
    <n v="40"/>
    <x v="9"/>
    <x v="10"/>
    <n v="920"/>
  </r>
  <r>
    <x v="16"/>
    <x v="0"/>
    <x v="4"/>
    <n v="13"/>
    <n v="80"/>
    <x v="1"/>
    <x v="11"/>
    <n v="1040"/>
  </r>
  <r>
    <x v="16"/>
    <x v="3"/>
    <x v="0"/>
    <n v="22"/>
    <n v="16"/>
    <x v="0"/>
    <x v="0"/>
    <n v="352"/>
  </r>
  <r>
    <x v="16"/>
    <x v="1"/>
    <x v="0"/>
    <n v="19"/>
    <n v="40"/>
    <x v="10"/>
    <x v="1"/>
    <n v="760"/>
  </r>
  <r>
    <x v="16"/>
    <x v="0"/>
    <x v="3"/>
    <n v="4"/>
    <n v="80"/>
    <x v="2"/>
    <x v="2"/>
    <n v="320"/>
  </r>
  <r>
    <x v="16"/>
    <x v="3"/>
    <x v="0"/>
    <n v="12"/>
    <n v="16"/>
    <x v="2"/>
    <x v="3"/>
    <n v="192"/>
  </r>
  <r>
    <x v="16"/>
    <x v="4"/>
    <x v="1"/>
    <n v="16"/>
    <n v="150"/>
    <x v="5"/>
    <x v="4"/>
    <n v="2400"/>
  </r>
  <r>
    <x v="16"/>
    <x v="0"/>
    <x v="0"/>
    <n v="7"/>
    <n v="80"/>
    <x v="4"/>
    <x v="5"/>
    <n v="560"/>
  </r>
  <r>
    <x v="16"/>
    <x v="1"/>
    <x v="4"/>
    <n v="20"/>
    <n v="40"/>
    <x v="8"/>
    <x v="6"/>
    <n v="800"/>
  </r>
  <r>
    <x v="16"/>
    <x v="0"/>
    <x v="1"/>
    <n v="15"/>
    <n v="80"/>
    <x v="11"/>
    <x v="7"/>
    <n v="1200"/>
  </r>
  <r>
    <x v="16"/>
    <x v="1"/>
    <x v="0"/>
    <n v="5"/>
    <n v="40"/>
    <x v="7"/>
    <x v="8"/>
    <n v="200"/>
  </r>
  <r>
    <x v="16"/>
    <x v="3"/>
    <x v="4"/>
    <n v="12"/>
    <n v="16"/>
    <x v="10"/>
    <x v="9"/>
    <n v="192"/>
  </r>
  <r>
    <x v="17"/>
    <x v="4"/>
    <x v="3"/>
    <n v="3"/>
    <n v="150"/>
    <x v="0"/>
    <x v="10"/>
    <n v="450"/>
  </r>
  <r>
    <x v="17"/>
    <x v="1"/>
    <x v="4"/>
    <n v="7"/>
    <n v="40"/>
    <x v="11"/>
    <x v="11"/>
    <n v="280"/>
  </r>
  <r>
    <x v="17"/>
    <x v="0"/>
    <x v="1"/>
    <n v="2"/>
    <n v="80"/>
    <x v="10"/>
    <x v="0"/>
    <n v="160"/>
  </r>
  <r>
    <x v="17"/>
    <x v="1"/>
    <x v="3"/>
    <n v="6"/>
    <n v="40"/>
    <x v="8"/>
    <x v="1"/>
    <n v="240"/>
  </r>
  <r>
    <x v="17"/>
    <x v="3"/>
    <x v="2"/>
    <n v="6"/>
    <n v="16"/>
    <x v="9"/>
    <x v="2"/>
    <n v="96"/>
  </r>
  <r>
    <x v="17"/>
    <x v="3"/>
    <x v="0"/>
    <n v="7"/>
    <n v="16"/>
    <x v="4"/>
    <x v="3"/>
    <n v="112"/>
  </r>
  <r>
    <x v="17"/>
    <x v="3"/>
    <x v="1"/>
    <n v="20"/>
    <n v="16"/>
    <x v="9"/>
    <x v="4"/>
    <n v="320"/>
  </r>
  <r>
    <x v="17"/>
    <x v="3"/>
    <x v="1"/>
    <n v="21"/>
    <n v="16"/>
    <x v="4"/>
    <x v="5"/>
    <n v="336"/>
  </r>
  <r>
    <x v="17"/>
    <x v="0"/>
    <x v="3"/>
    <n v="21"/>
    <n v="80"/>
    <x v="1"/>
    <x v="6"/>
    <n v="1680"/>
  </r>
  <r>
    <x v="17"/>
    <x v="3"/>
    <x v="3"/>
    <n v="10"/>
    <n v="16"/>
    <x v="0"/>
    <x v="7"/>
    <n v="160"/>
  </r>
  <r>
    <x v="18"/>
    <x v="2"/>
    <x v="3"/>
    <n v="2"/>
    <n v="230"/>
    <x v="7"/>
    <x v="8"/>
    <n v="460"/>
  </r>
  <r>
    <x v="18"/>
    <x v="4"/>
    <x v="0"/>
    <n v="20"/>
    <n v="150"/>
    <x v="3"/>
    <x v="9"/>
    <n v="3000"/>
  </r>
  <r>
    <x v="18"/>
    <x v="1"/>
    <x v="0"/>
    <n v="23"/>
    <n v="40"/>
    <x v="3"/>
    <x v="10"/>
    <n v="920"/>
  </r>
  <r>
    <x v="18"/>
    <x v="0"/>
    <x v="3"/>
    <n v="17"/>
    <n v="80"/>
    <x v="1"/>
    <x v="11"/>
    <n v="1360"/>
  </r>
  <r>
    <x v="18"/>
    <x v="2"/>
    <x v="3"/>
    <n v="11"/>
    <n v="230"/>
    <x v="11"/>
    <x v="0"/>
    <n v="2530"/>
  </r>
  <r>
    <x v="18"/>
    <x v="4"/>
    <x v="1"/>
    <n v="10"/>
    <n v="150"/>
    <x v="0"/>
    <x v="1"/>
    <n v="1500"/>
  </r>
  <r>
    <x v="18"/>
    <x v="0"/>
    <x v="1"/>
    <n v="17"/>
    <n v="80"/>
    <x v="3"/>
    <x v="2"/>
    <n v="1360"/>
  </r>
  <r>
    <x v="19"/>
    <x v="2"/>
    <x v="0"/>
    <n v="9"/>
    <n v="230"/>
    <x v="8"/>
    <x v="3"/>
    <n v="2070"/>
  </r>
  <r>
    <x v="19"/>
    <x v="2"/>
    <x v="0"/>
    <n v="11"/>
    <n v="230"/>
    <x v="4"/>
    <x v="4"/>
    <n v="2530"/>
  </r>
  <r>
    <x v="19"/>
    <x v="1"/>
    <x v="2"/>
    <n v="2"/>
    <n v="40"/>
    <x v="4"/>
    <x v="5"/>
    <n v="80"/>
  </r>
  <r>
    <x v="19"/>
    <x v="2"/>
    <x v="4"/>
    <n v="3"/>
    <n v="230"/>
    <x v="6"/>
    <x v="6"/>
    <n v="690"/>
  </r>
  <r>
    <x v="19"/>
    <x v="1"/>
    <x v="4"/>
    <n v="7"/>
    <n v="40"/>
    <x v="1"/>
    <x v="7"/>
    <n v="280"/>
  </r>
  <r>
    <x v="19"/>
    <x v="4"/>
    <x v="1"/>
    <n v="20"/>
    <n v="150"/>
    <x v="7"/>
    <x v="8"/>
    <n v="3000"/>
  </r>
  <r>
    <x v="19"/>
    <x v="1"/>
    <x v="2"/>
    <n v="4"/>
    <n v="40"/>
    <x v="2"/>
    <x v="9"/>
    <n v="160"/>
  </r>
  <r>
    <x v="20"/>
    <x v="2"/>
    <x v="2"/>
    <n v="2"/>
    <n v="230"/>
    <x v="7"/>
    <x v="0"/>
    <n v="460"/>
  </r>
  <r>
    <x v="20"/>
    <x v="1"/>
    <x v="1"/>
    <n v="7"/>
    <n v="40"/>
    <x v="0"/>
    <x v="1"/>
    <n v="280"/>
  </r>
  <r>
    <x v="20"/>
    <x v="1"/>
    <x v="0"/>
    <n v="2"/>
    <n v="40"/>
    <x v="11"/>
    <x v="2"/>
    <n v="80"/>
  </r>
  <r>
    <x v="20"/>
    <x v="0"/>
    <x v="1"/>
    <n v="3"/>
    <n v="80"/>
    <x v="4"/>
    <x v="3"/>
    <n v="240"/>
  </r>
  <r>
    <x v="20"/>
    <x v="3"/>
    <x v="0"/>
    <n v="18"/>
    <n v="16"/>
    <x v="2"/>
    <x v="4"/>
    <n v="288"/>
  </r>
  <r>
    <x v="20"/>
    <x v="0"/>
    <x v="1"/>
    <n v="5"/>
    <n v="80"/>
    <x v="8"/>
    <x v="5"/>
    <n v="400"/>
  </r>
  <r>
    <x v="20"/>
    <x v="3"/>
    <x v="2"/>
    <n v="3"/>
    <n v="16"/>
    <x v="1"/>
    <x v="6"/>
    <n v="48"/>
  </r>
  <r>
    <x v="20"/>
    <x v="0"/>
    <x v="3"/>
    <n v="7"/>
    <n v="80"/>
    <x v="4"/>
    <x v="7"/>
    <n v="560"/>
  </r>
  <r>
    <x v="20"/>
    <x v="4"/>
    <x v="3"/>
    <n v="15"/>
    <n v="150"/>
    <x v="5"/>
    <x v="8"/>
    <n v="2250"/>
  </r>
  <r>
    <x v="20"/>
    <x v="0"/>
    <x v="2"/>
    <n v="10"/>
    <n v="80"/>
    <x v="2"/>
    <x v="9"/>
    <n v="800"/>
  </r>
  <r>
    <x v="20"/>
    <x v="2"/>
    <x v="4"/>
    <n v="13"/>
    <n v="230"/>
    <x v="9"/>
    <x v="10"/>
    <n v="2990"/>
  </r>
  <r>
    <x v="20"/>
    <x v="1"/>
    <x v="0"/>
    <n v="7"/>
    <n v="40"/>
    <x v="6"/>
    <x v="11"/>
    <n v="280"/>
  </r>
  <r>
    <x v="20"/>
    <x v="3"/>
    <x v="2"/>
    <n v="6"/>
    <n v="16"/>
    <x v="0"/>
    <x v="0"/>
    <n v="96"/>
  </r>
  <r>
    <x v="21"/>
    <x v="1"/>
    <x v="2"/>
    <n v="11"/>
    <n v="40"/>
    <x v="1"/>
    <x v="1"/>
    <n v="440"/>
  </r>
  <r>
    <x v="21"/>
    <x v="0"/>
    <x v="3"/>
    <n v="8"/>
    <n v="80"/>
    <x v="9"/>
    <x v="2"/>
    <n v="640"/>
  </r>
  <r>
    <x v="21"/>
    <x v="0"/>
    <x v="0"/>
    <n v="9"/>
    <n v="80"/>
    <x v="10"/>
    <x v="3"/>
    <n v="720"/>
  </r>
  <r>
    <x v="21"/>
    <x v="1"/>
    <x v="4"/>
    <n v="4"/>
    <n v="40"/>
    <x v="7"/>
    <x v="4"/>
    <n v="160"/>
  </r>
  <r>
    <x v="21"/>
    <x v="0"/>
    <x v="1"/>
    <n v="13"/>
    <n v="80"/>
    <x v="9"/>
    <x v="5"/>
    <n v="1040"/>
  </r>
  <r>
    <x v="21"/>
    <x v="4"/>
    <x v="4"/>
    <n v="4"/>
    <n v="150"/>
    <x v="1"/>
    <x v="6"/>
    <n v="600"/>
  </r>
  <r>
    <x v="21"/>
    <x v="2"/>
    <x v="2"/>
    <n v="14"/>
    <n v="230"/>
    <x v="11"/>
    <x v="7"/>
    <n v="3220"/>
  </r>
  <r>
    <x v="21"/>
    <x v="4"/>
    <x v="4"/>
    <n v="13"/>
    <n v="150"/>
    <x v="2"/>
    <x v="8"/>
    <n v="1950"/>
  </r>
  <r>
    <x v="21"/>
    <x v="4"/>
    <x v="1"/>
    <n v="16"/>
    <n v="150"/>
    <x v="3"/>
    <x v="9"/>
    <n v="2400"/>
  </r>
  <r>
    <x v="21"/>
    <x v="3"/>
    <x v="0"/>
    <n v="7"/>
    <n v="16"/>
    <x v="11"/>
    <x v="10"/>
    <n v="112"/>
  </r>
  <r>
    <x v="21"/>
    <x v="4"/>
    <x v="3"/>
    <n v="9"/>
    <n v="150"/>
    <x v="4"/>
    <x v="11"/>
    <n v="1350"/>
  </r>
  <r>
    <x v="21"/>
    <x v="3"/>
    <x v="0"/>
    <n v="10"/>
    <n v="16"/>
    <x v="5"/>
    <x v="0"/>
    <n v="160"/>
  </r>
  <r>
    <x v="21"/>
    <x v="0"/>
    <x v="3"/>
    <n v="15"/>
    <n v="80"/>
    <x v="5"/>
    <x v="1"/>
    <n v="1200"/>
  </r>
  <r>
    <x v="21"/>
    <x v="0"/>
    <x v="4"/>
    <n v="9"/>
    <n v="80"/>
    <x v="9"/>
    <x v="2"/>
    <n v="720"/>
  </r>
  <r>
    <x v="22"/>
    <x v="3"/>
    <x v="3"/>
    <n v="7"/>
    <n v="16"/>
    <x v="5"/>
    <x v="3"/>
    <n v="112"/>
  </r>
  <r>
    <x v="22"/>
    <x v="4"/>
    <x v="4"/>
    <n v="7"/>
    <n v="150"/>
    <x v="3"/>
    <x v="4"/>
    <n v="1050"/>
  </r>
  <r>
    <x v="22"/>
    <x v="2"/>
    <x v="3"/>
    <n v="16"/>
    <n v="230"/>
    <x v="2"/>
    <x v="5"/>
    <n v="3680"/>
  </r>
  <r>
    <x v="22"/>
    <x v="3"/>
    <x v="3"/>
    <n v="18"/>
    <n v="16"/>
    <x v="10"/>
    <x v="6"/>
    <n v="288"/>
  </r>
  <r>
    <x v="22"/>
    <x v="2"/>
    <x v="4"/>
    <n v="20"/>
    <n v="230"/>
    <x v="2"/>
    <x v="7"/>
    <n v="4600"/>
  </r>
  <r>
    <x v="22"/>
    <x v="4"/>
    <x v="0"/>
    <n v="7"/>
    <n v="150"/>
    <x v="4"/>
    <x v="8"/>
    <n v="1050"/>
  </r>
  <r>
    <x v="22"/>
    <x v="3"/>
    <x v="2"/>
    <n v="11"/>
    <n v="16"/>
    <x v="11"/>
    <x v="9"/>
    <n v="176"/>
  </r>
  <r>
    <x v="22"/>
    <x v="1"/>
    <x v="2"/>
    <n v="12"/>
    <n v="40"/>
    <x v="4"/>
    <x v="10"/>
    <n v="480"/>
  </r>
  <r>
    <x v="22"/>
    <x v="4"/>
    <x v="4"/>
    <n v="7"/>
    <n v="150"/>
    <x v="4"/>
    <x v="11"/>
    <n v="1050"/>
  </r>
  <r>
    <x v="22"/>
    <x v="0"/>
    <x v="2"/>
    <n v="14"/>
    <n v="80"/>
    <x v="6"/>
    <x v="0"/>
    <n v="1120"/>
  </r>
  <r>
    <x v="22"/>
    <x v="2"/>
    <x v="2"/>
    <n v="12"/>
    <n v="230"/>
    <x v="9"/>
    <x v="1"/>
    <n v="2760"/>
  </r>
  <r>
    <x v="23"/>
    <x v="0"/>
    <x v="1"/>
    <n v="21"/>
    <n v="80"/>
    <x v="10"/>
    <x v="2"/>
    <n v="1680"/>
  </r>
  <r>
    <x v="23"/>
    <x v="4"/>
    <x v="0"/>
    <n v="8"/>
    <n v="150"/>
    <x v="7"/>
    <x v="3"/>
    <n v="1200"/>
  </r>
  <r>
    <x v="23"/>
    <x v="0"/>
    <x v="1"/>
    <n v="16"/>
    <n v="80"/>
    <x v="10"/>
    <x v="4"/>
    <n v="1280"/>
  </r>
  <r>
    <x v="23"/>
    <x v="2"/>
    <x v="1"/>
    <n v="14"/>
    <n v="230"/>
    <x v="1"/>
    <x v="5"/>
    <n v="3220"/>
  </r>
  <r>
    <x v="23"/>
    <x v="1"/>
    <x v="2"/>
    <n v="2"/>
    <n v="40"/>
    <x v="3"/>
    <x v="6"/>
    <n v="80"/>
  </r>
  <r>
    <x v="23"/>
    <x v="4"/>
    <x v="0"/>
    <n v="4"/>
    <n v="150"/>
    <x v="6"/>
    <x v="7"/>
    <n v="600"/>
  </r>
  <r>
    <x v="23"/>
    <x v="0"/>
    <x v="2"/>
    <n v="6"/>
    <n v="80"/>
    <x v="0"/>
    <x v="8"/>
    <n v="480"/>
  </r>
  <r>
    <x v="23"/>
    <x v="1"/>
    <x v="2"/>
    <n v="6"/>
    <n v="40"/>
    <x v="9"/>
    <x v="9"/>
    <n v="240"/>
  </r>
  <r>
    <x v="23"/>
    <x v="4"/>
    <x v="0"/>
    <n v="20"/>
    <n v="150"/>
    <x v="10"/>
    <x v="10"/>
    <n v="3000"/>
  </r>
  <r>
    <x v="23"/>
    <x v="1"/>
    <x v="2"/>
    <n v="18"/>
    <n v="40"/>
    <x v="3"/>
    <x v="11"/>
    <n v="720"/>
  </r>
  <r>
    <x v="23"/>
    <x v="2"/>
    <x v="3"/>
    <n v="18"/>
    <n v="230"/>
    <x v="0"/>
    <x v="0"/>
    <n v="4140"/>
  </r>
  <r>
    <x v="23"/>
    <x v="2"/>
    <x v="2"/>
    <n v="15"/>
    <n v="230"/>
    <x v="10"/>
    <x v="1"/>
    <n v="3450"/>
  </r>
  <r>
    <x v="23"/>
    <x v="3"/>
    <x v="1"/>
    <n v="22"/>
    <n v="16"/>
    <x v="0"/>
    <x v="2"/>
    <n v="352"/>
  </r>
  <r>
    <x v="23"/>
    <x v="4"/>
    <x v="0"/>
    <n v="17"/>
    <n v="150"/>
    <x v="11"/>
    <x v="3"/>
    <n v="2550"/>
  </r>
  <r>
    <x v="24"/>
    <x v="3"/>
    <x v="1"/>
    <n v="5"/>
    <n v="16"/>
    <x v="2"/>
    <x v="4"/>
    <n v="80"/>
  </r>
  <r>
    <x v="24"/>
    <x v="4"/>
    <x v="0"/>
    <n v="23"/>
    <n v="150"/>
    <x v="6"/>
    <x v="5"/>
    <n v="3450"/>
  </r>
  <r>
    <x v="24"/>
    <x v="4"/>
    <x v="3"/>
    <n v="22"/>
    <n v="150"/>
    <x v="1"/>
    <x v="6"/>
    <n v="3300"/>
  </r>
  <r>
    <x v="24"/>
    <x v="3"/>
    <x v="4"/>
    <n v="15"/>
    <n v="16"/>
    <x v="0"/>
    <x v="7"/>
    <n v="240"/>
  </r>
  <r>
    <x v="24"/>
    <x v="1"/>
    <x v="3"/>
    <n v="7"/>
    <n v="40"/>
    <x v="8"/>
    <x v="8"/>
    <n v="280"/>
  </r>
  <r>
    <x v="24"/>
    <x v="0"/>
    <x v="4"/>
    <n v="22"/>
    <n v="80"/>
    <x v="2"/>
    <x v="9"/>
    <n v="1760"/>
  </r>
  <r>
    <x v="24"/>
    <x v="4"/>
    <x v="2"/>
    <n v="11"/>
    <n v="150"/>
    <x v="1"/>
    <x v="10"/>
    <n v="1650"/>
  </r>
  <r>
    <x v="24"/>
    <x v="1"/>
    <x v="1"/>
    <n v="21"/>
    <n v="40"/>
    <x v="3"/>
    <x v="11"/>
    <n v="840"/>
  </r>
  <r>
    <x v="24"/>
    <x v="0"/>
    <x v="3"/>
    <n v="23"/>
    <n v="80"/>
    <x v="2"/>
    <x v="0"/>
    <n v="1840"/>
  </r>
  <r>
    <x v="24"/>
    <x v="2"/>
    <x v="2"/>
    <n v="7"/>
    <n v="230"/>
    <x v="0"/>
    <x v="1"/>
    <n v="1610"/>
  </r>
  <r>
    <x v="24"/>
    <x v="2"/>
    <x v="0"/>
    <n v="16"/>
    <n v="230"/>
    <x v="8"/>
    <x v="2"/>
    <n v="3680"/>
  </r>
  <r>
    <x v="24"/>
    <x v="0"/>
    <x v="1"/>
    <n v="14"/>
    <n v="80"/>
    <x v="2"/>
    <x v="3"/>
    <n v="1120"/>
  </r>
  <r>
    <x v="24"/>
    <x v="4"/>
    <x v="2"/>
    <n v="22"/>
    <n v="150"/>
    <x v="7"/>
    <x v="4"/>
    <n v="3300"/>
  </r>
  <r>
    <x v="24"/>
    <x v="4"/>
    <x v="3"/>
    <n v="4"/>
    <n v="150"/>
    <x v="11"/>
    <x v="5"/>
    <n v="600"/>
  </r>
  <r>
    <x v="24"/>
    <x v="4"/>
    <x v="0"/>
    <n v="3"/>
    <n v="150"/>
    <x v="3"/>
    <x v="6"/>
    <n v="450"/>
  </r>
  <r>
    <x v="24"/>
    <x v="1"/>
    <x v="4"/>
    <n v="17"/>
    <n v="40"/>
    <x v="4"/>
    <x v="7"/>
    <n v="680"/>
  </r>
  <r>
    <x v="24"/>
    <x v="0"/>
    <x v="4"/>
    <n v="22"/>
    <n v="80"/>
    <x v="6"/>
    <x v="8"/>
    <n v="1760"/>
  </r>
  <r>
    <x v="24"/>
    <x v="4"/>
    <x v="4"/>
    <n v="18"/>
    <n v="150"/>
    <x v="11"/>
    <x v="9"/>
    <n v="2700"/>
  </r>
  <r>
    <x v="25"/>
    <x v="4"/>
    <x v="0"/>
    <n v="4"/>
    <n v="150"/>
    <x v="9"/>
    <x v="0"/>
    <n v="600"/>
  </r>
  <r>
    <x v="25"/>
    <x v="2"/>
    <x v="1"/>
    <n v="22"/>
    <n v="230"/>
    <x v="10"/>
    <x v="1"/>
    <n v="5060"/>
  </r>
  <r>
    <x v="25"/>
    <x v="4"/>
    <x v="1"/>
    <n v="15"/>
    <n v="150"/>
    <x v="11"/>
    <x v="2"/>
    <n v="2250"/>
  </r>
  <r>
    <x v="25"/>
    <x v="0"/>
    <x v="0"/>
    <n v="17"/>
    <n v="80"/>
    <x v="8"/>
    <x v="3"/>
    <n v="1360"/>
  </r>
  <r>
    <x v="25"/>
    <x v="1"/>
    <x v="4"/>
    <n v="10"/>
    <n v="40"/>
    <x v="3"/>
    <x v="4"/>
    <n v="400"/>
  </r>
  <r>
    <x v="25"/>
    <x v="1"/>
    <x v="0"/>
    <n v="23"/>
    <n v="40"/>
    <x v="8"/>
    <x v="5"/>
    <n v="920"/>
  </r>
  <r>
    <x v="25"/>
    <x v="3"/>
    <x v="1"/>
    <n v="22"/>
    <n v="16"/>
    <x v="10"/>
    <x v="6"/>
    <n v="352"/>
  </r>
  <r>
    <x v="25"/>
    <x v="0"/>
    <x v="2"/>
    <n v="8"/>
    <n v="80"/>
    <x v="4"/>
    <x v="7"/>
    <n v="640"/>
  </r>
  <r>
    <x v="25"/>
    <x v="3"/>
    <x v="1"/>
    <n v="4"/>
    <n v="16"/>
    <x v="7"/>
    <x v="8"/>
    <n v="64"/>
  </r>
  <r>
    <x v="25"/>
    <x v="1"/>
    <x v="3"/>
    <n v="11"/>
    <n v="40"/>
    <x v="7"/>
    <x v="9"/>
    <n v="440"/>
  </r>
  <r>
    <x v="25"/>
    <x v="2"/>
    <x v="2"/>
    <n v="18"/>
    <n v="230"/>
    <x v="0"/>
    <x v="10"/>
    <n v="4140"/>
  </r>
  <r>
    <x v="26"/>
    <x v="2"/>
    <x v="1"/>
    <n v="11"/>
    <n v="230"/>
    <x v="6"/>
    <x v="11"/>
    <n v="2530"/>
  </r>
  <r>
    <x v="26"/>
    <x v="2"/>
    <x v="0"/>
    <n v="15"/>
    <n v="230"/>
    <x v="1"/>
    <x v="0"/>
    <n v="3450"/>
  </r>
  <r>
    <x v="26"/>
    <x v="1"/>
    <x v="4"/>
    <n v="7"/>
    <n v="40"/>
    <x v="10"/>
    <x v="1"/>
    <n v="280"/>
  </r>
  <r>
    <x v="26"/>
    <x v="4"/>
    <x v="2"/>
    <n v="20"/>
    <n v="150"/>
    <x v="11"/>
    <x v="2"/>
    <n v="3000"/>
  </r>
  <r>
    <x v="26"/>
    <x v="0"/>
    <x v="2"/>
    <n v="5"/>
    <n v="80"/>
    <x v="7"/>
    <x v="3"/>
    <n v="400"/>
  </r>
  <r>
    <x v="26"/>
    <x v="0"/>
    <x v="3"/>
    <n v="14"/>
    <n v="80"/>
    <x v="1"/>
    <x v="4"/>
    <n v="1120"/>
  </r>
  <r>
    <x v="26"/>
    <x v="2"/>
    <x v="3"/>
    <n v="7"/>
    <n v="230"/>
    <x v="9"/>
    <x v="5"/>
    <n v="1610"/>
  </r>
  <r>
    <x v="26"/>
    <x v="1"/>
    <x v="3"/>
    <n v="13"/>
    <n v="40"/>
    <x v="9"/>
    <x v="6"/>
    <n v="520"/>
  </r>
  <r>
    <x v="27"/>
    <x v="3"/>
    <x v="1"/>
    <n v="15"/>
    <n v="16"/>
    <x v="4"/>
    <x v="7"/>
    <n v="240"/>
  </r>
  <r>
    <x v="27"/>
    <x v="3"/>
    <x v="3"/>
    <n v="5"/>
    <n v="16"/>
    <x v="7"/>
    <x v="8"/>
    <n v="80"/>
  </r>
  <r>
    <x v="27"/>
    <x v="3"/>
    <x v="0"/>
    <n v="22"/>
    <n v="16"/>
    <x v="9"/>
    <x v="9"/>
    <n v="352"/>
  </r>
  <r>
    <x v="27"/>
    <x v="4"/>
    <x v="2"/>
    <n v="15"/>
    <n v="150"/>
    <x v="1"/>
    <x v="10"/>
    <n v="2250"/>
  </r>
  <r>
    <x v="27"/>
    <x v="2"/>
    <x v="2"/>
    <n v="5"/>
    <n v="230"/>
    <x v="0"/>
    <x v="11"/>
    <n v="1150"/>
  </r>
  <r>
    <x v="27"/>
    <x v="1"/>
    <x v="0"/>
    <n v="11"/>
    <n v="40"/>
    <x v="10"/>
    <x v="0"/>
    <n v="440"/>
  </r>
  <r>
    <x v="27"/>
    <x v="4"/>
    <x v="1"/>
    <n v="13"/>
    <n v="150"/>
    <x v="5"/>
    <x v="1"/>
    <n v="1950"/>
  </r>
  <r>
    <x v="27"/>
    <x v="3"/>
    <x v="4"/>
    <n v="13"/>
    <n v="16"/>
    <x v="8"/>
    <x v="2"/>
    <n v="208"/>
  </r>
  <r>
    <x v="27"/>
    <x v="3"/>
    <x v="4"/>
    <n v="3"/>
    <n v="16"/>
    <x v="3"/>
    <x v="3"/>
    <n v="48"/>
  </r>
  <r>
    <x v="28"/>
    <x v="4"/>
    <x v="1"/>
    <n v="2"/>
    <n v="150"/>
    <x v="7"/>
    <x v="4"/>
    <n v="300"/>
  </r>
  <r>
    <x v="28"/>
    <x v="2"/>
    <x v="2"/>
    <n v="14"/>
    <n v="230"/>
    <x v="3"/>
    <x v="5"/>
    <n v="3220"/>
  </r>
  <r>
    <x v="28"/>
    <x v="1"/>
    <x v="2"/>
    <n v="11"/>
    <n v="40"/>
    <x v="11"/>
    <x v="6"/>
    <n v="440"/>
  </r>
  <r>
    <x v="28"/>
    <x v="3"/>
    <x v="4"/>
    <n v="3"/>
    <n v="16"/>
    <x v="9"/>
    <x v="7"/>
    <n v="48"/>
  </r>
  <r>
    <x v="28"/>
    <x v="1"/>
    <x v="4"/>
    <n v="18"/>
    <n v="40"/>
    <x v="9"/>
    <x v="8"/>
    <n v="720"/>
  </r>
  <r>
    <x v="28"/>
    <x v="2"/>
    <x v="4"/>
    <n v="7"/>
    <n v="230"/>
    <x v="1"/>
    <x v="9"/>
    <n v="1610"/>
  </r>
  <r>
    <x v="28"/>
    <x v="1"/>
    <x v="4"/>
    <n v="23"/>
    <n v="40"/>
    <x v="1"/>
    <x v="10"/>
    <n v="920"/>
  </r>
  <r>
    <x v="29"/>
    <x v="2"/>
    <x v="4"/>
    <n v="2"/>
    <n v="230"/>
    <x v="5"/>
    <x v="11"/>
    <n v="460"/>
  </r>
  <r>
    <x v="29"/>
    <x v="1"/>
    <x v="3"/>
    <n v="18"/>
    <n v="40"/>
    <x v="10"/>
    <x v="0"/>
    <n v="720"/>
  </r>
  <r>
    <x v="29"/>
    <x v="2"/>
    <x v="1"/>
    <n v="7"/>
    <n v="230"/>
    <x v="1"/>
    <x v="1"/>
    <n v="1610"/>
  </r>
  <r>
    <x v="29"/>
    <x v="1"/>
    <x v="4"/>
    <n v="14"/>
    <n v="40"/>
    <x v="2"/>
    <x v="2"/>
    <n v="560"/>
  </r>
  <r>
    <x v="29"/>
    <x v="4"/>
    <x v="1"/>
    <n v="13"/>
    <n v="150"/>
    <x v="4"/>
    <x v="3"/>
    <n v="1950"/>
  </r>
  <r>
    <x v="29"/>
    <x v="0"/>
    <x v="0"/>
    <n v="12"/>
    <n v="80"/>
    <x v="10"/>
    <x v="4"/>
    <n v="960"/>
  </r>
  <r>
    <x v="29"/>
    <x v="2"/>
    <x v="4"/>
    <n v="20"/>
    <n v="230"/>
    <x v="7"/>
    <x v="5"/>
    <n v="4600"/>
  </r>
  <r>
    <x v="29"/>
    <x v="1"/>
    <x v="4"/>
    <n v="5"/>
    <n v="40"/>
    <x v="3"/>
    <x v="6"/>
    <n v="200"/>
  </r>
  <r>
    <x v="29"/>
    <x v="3"/>
    <x v="4"/>
    <n v="2"/>
    <n v="16"/>
    <x v="10"/>
    <x v="7"/>
    <n v="32"/>
  </r>
  <r>
    <x v="0"/>
    <x v="0"/>
    <x v="2"/>
    <n v="10"/>
    <n v="80"/>
    <x v="5"/>
    <x v="8"/>
    <n v="800"/>
  </r>
  <r>
    <x v="0"/>
    <x v="1"/>
    <x v="3"/>
    <n v="18"/>
    <n v="40"/>
    <x v="9"/>
    <x v="9"/>
    <n v="720"/>
  </r>
  <r>
    <x v="0"/>
    <x v="2"/>
    <x v="1"/>
    <n v="7"/>
    <n v="230"/>
    <x v="5"/>
    <x v="10"/>
    <n v="1610"/>
  </r>
  <r>
    <x v="0"/>
    <x v="1"/>
    <x v="3"/>
    <n v="15"/>
    <n v="40"/>
    <x v="3"/>
    <x v="11"/>
    <n v="600"/>
  </r>
  <r>
    <x v="0"/>
    <x v="3"/>
    <x v="2"/>
    <n v="6"/>
    <n v="16"/>
    <x v="0"/>
    <x v="0"/>
    <n v="96"/>
  </r>
  <r>
    <x v="0"/>
    <x v="4"/>
    <x v="3"/>
    <n v="9"/>
    <n v="150"/>
    <x v="4"/>
    <x v="1"/>
    <n v="1350"/>
  </r>
  <r>
    <x v="0"/>
    <x v="3"/>
    <x v="4"/>
    <n v="15"/>
    <n v="16"/>
    <x v="0"/>
    <x v="2"/>
    <n v="240"/>
  </r>
  <r>
    <x v="0"/>
    <x v="0"/>
    <x v="4"/>
    <n v="22"/>
    <n v="80"/>
    <x v="2"/>
    <x v="3"/>
    <n v="1760"/>
  </r>
  <r>
    <x v="0"/>
    <x v="4"/>
    <x v="1"/>
    <n v="13"/>
    <n v="150"/>
    <x v="4"/>
    <x v="4"/>
    <n v="1950"/>
  </r>
  <r>
    <x v="1"/>
    <x v="3"/>
    <x v="2"/>
    <n v="12"/>
    <n v="16"/>
    <x v="3"/>
    <x v="5"/>
    <n v="192"/>
  </r>
  <r>
    <x v="1"/>
    <x v="1"/>
    <x v="3"/>
    <n v="4"/>
    <n v="40"/>
    <x v="1"/>
    <x v="6"/>
    <n v="160"/>
  </r>
  <r>
    <x v="1"/>
    <x v="2"/>
    <x v="1"/>
    <n v="19"/>
    <n v="230"/>
    <x v="2"/>
    <x v="7"/>
    <n v="4370"/>
  </r>
  <r>
    <x v="1"/>
    <x v="1"/>
    <x v="1"/>
    <n v="4"/>
    <n v="40"/>
    <x v="9"/>
    <x v="8"/>
    <n v="160"/>
  </r>
  <r>
    <x v="1"/>
    <x v="3"/>
    <x v="2"/>
    <n v="6"/>
    <n v="16"/>
    <x v="8"/>
    <x v="9"/>
    <n v="96"/>
  </r>
  <r>
    <x v="1"/>
    <x v="2"/>
    <x v="2"/>
    <n v="15"/>
    <n v="230"/>
    <x v="2"/>
    <x v="10"/>
    <n v="3450"/>
  </r>
  <r>
    <x v="1"/>
    <x v="0"/>
    <x v="2"/>
    <n v="16"/>
    <n v="80"/>
    <x v="10"/>
    <x v="11"/>
    <n v="1280"/>
  </r>
  <r>
    <x v="1"/>
    <x v="1"/>
    <x v="0"/>
    <n v="7"/>
    <n v="40"/>
    <x v="6"/>
    <x v="0"/>
    <n v="280"/>
  </r>
  <r>
    <x v="1"/>
    <x v="1"/>
    <x v="2"/>
    <n v="11"/>
    <n v="40"/>
    <x v="1"/>
    <x v="1"/>
    <n v="440"/>
  </r>
  <r>
    <x v="1"/>
    <x v="0"/>
    <x v="4"/>
    <n v="9"/>
    <n v="80"/>
    <x v="9"/>
    <x v="2"/>
    <n v="720"/>
  </r>
  <r>
    <x v="1"/>
    <x v="0"/>
    <x v="1"/>
    <n v="21"/>
    <n v="80"/>
    <x v="10"/>
    <x v="3"/>
    <n v="1680"/>
  </r>
  <r>
    <x v="1"/>
    <x v="1"/>
    <x v="2"/>
    <n v="2"/>
    <n v="40"/>
    <x v="3"/>
    <x v="4"/>
    <n v="80"/>
  </r>
  <r>
    <x v="2"/>
    <x v="3"/>
    <x v="2"/>
    <n v="17"/>
    <n v="16"/>
    <x v="1"/>
    <x v="5"/>
    <n v="272"/>
  </r>
  <r>
    <x v="2"/>
    <x v="1"/>
    <x v="0"/>
    <n v="18"/>
    <n v="40"/>
    <x v="9"/>
    <x v="6"/>
    <n v="720"/>
  </r>
  <r>
    <x v="2"/>
    <x v="1"/>
    <x v="0"/>
    <n v="9"/>
    <n v="40"/>
    <x v="0"/>
    <x v="7"/>
    <n v="360"/>
  </r>
  <r>
    <x v="2"/>
    <x v="1"/>
    <x v="1"/>
    <n v="7"/>
    <n v="40"/>
    <x v="0"/>
    <x v="8"/>
    <n v="280"/>
  </r>
  <r>
    <x v="2"/>
    <x v="2"/>
    <x v="2"/>
    <n v="12"/>
    <n v="230"/>
    <x v="9"/>
    <x v="9"/>
    <n v="2760"/>
  </r>
  <r>
    <x v="2"/>
    <x v="3"/>
    <x v="1"/>
    <n v="22"/>
    <n v="16"/>
    <x v="10"/>
    <x v="0"/>
    <n v="352"/>
  </r>
  <r>
    <x v="3"/>
    <x v="4"/>
    <x v="0"/>
    <n v="5"/>
    <n v="150"/>
    <x v="2"/>
    <x v="1"/>
    <n v="750"/>
  </r>
  <r>
    <x v="3"/>
    <x v="0"/>
    <x v="1"/>
    <n v="14"/>
    <n v="80"/>
    <x v="2"/>
    <x v="2"/>
    <n v="1120"/>
  </r>
  <r>
    <x v="3"/>
    <x v="3"/>
    <x v="2"/>
    <n v="8"/>
    <n v="16"/>
    <x v="3"/>
    <x v="3"/>
    <n v="128"/>
  </r>
  <r>
    <x v="3"/>
    <x v="2"/>
    <x v="2"/>
    <n v="6"/>
    <n v="230"/>
    <x v="1"/>
    <x v="4"/>
    <n v="1380"/>
  </r>
  <r>
    <x v="3"/>
    <x v="3"/>
    <x v="3"/>
    <n v="7"/>
    <n v="16"/>
    <x v="5"/>
    <x v="5"/>
    <n v="112"/>
  </r>
  <r>
    <x v="3"/>
    <x v="0"/>
    <x v="1"/>
    <n v="16"/>
    <n v="80"/>
    <x v="10"/>
    <x v="6"/>
    <n v="1280"/>
  </r>
  <r>
    <x v="3"/>
    <x v="4"/>
    <x v="0"/>
    <n v="17"/>
    <n v="150"/>
    <x v="11"/>
    <x v="7"/>
    <n v="2550"/>
  </r>
  <r>
    <x v="3"/>
    <x v="3"/>
    <x v="1"/>
    <n v="7"/>
    <n v="16"/>
    <x v="5"/>
    <x v="8"/>
    <n v="112"/>
  </r>
  <r>
    <x v="4"/>
    <x v="3"/>
    <x v="0"/>
    <n v="21"/>
    <n v="16"/>
    <x v="7"/>
    <x v="9"/>
    <n v="336"/>
  </r>
  <r>
    <x v="4"/>
    <x v="3"/>
    <x v="2"/>
    <n v="23"/>
    <n v="16"/>
    <x v="2"/>
    <x v="10"/>
    <n v="368"/>
  </r>
  <r>
    <x v="4"/>
    <x v="4"/>
    <x v="2"/>
    <n v="2"/>
    <n v="150"/>
    <x v="4"/>
    <x v="11"/>
    <n v="300"/>
  </r>
  <r>
    <x v="4"/>
    <x v="4"/>
    <x v="0"/>
    <n v="22"/>
    <n v="150"/>
    <x v="8"/>
    <x v="0"/>
    <n v="3300"/>
  </r>
  <r>
    <x v="4"/>
    <x v="1"/>
    <x v="3"/>
    <n v="22"/>
    <n v="40"/>
    <x v="0"/>
    <x v="1"/>
    <n v="880"/>
  </r>
  <r>
    <x v="4"/>
    <x v="0"/>
    <x v="1"/>
    <n v="10"/>
    <n v="80"/>
    <x v="2"/>
    <x v="2"/>
    <n v="800"/>
  </r>
  <r>
    <x v="4"/>
    <x v="0"/>
    <x v="4"/>
    <n v="13"/>
    <n v="80"/>
    <x v="1"/>
    <x v="3"/>
    <n v="1040"/>
  </r>
  <r>
    <x v="4"/>
    <x v="2"/>
    <x v="3"/>
    <n v="11"/>
    <n v="230"/>
    <x v="11"/>
    <x v="4"/>
    <n v="2530"/>
  </r>
  <r>
    <x v="4"/>
    <x v="2"/>
    <x v="0"/>
    <n v="9"/>
    <n v="230"/>
    <x v="8"/>
    <x v="5"/>
    <n v="2070"/>
  </r>
  <r>
    <x v="4"/>
    <x v="2"/>
    <x v="3"/>
    <n v="16"/>
    <n v="230"/>
    <x v="2"/>
    <x v="6"/>
    <n v="3680"/>
  </r>
  <r>
    <x v="4"/>
    <x v="2"/>
    <x v="3"/>
    <n v="18"/>
    <n v="230"/>
    <x v="0"/>
    <x v="7"/>
    <n v="4140"/>
  </r>
  <r>
    <x v="4"/>
    <x v="3"/>
    <x v="1"/>
    <n v="15"/>
    <n v="16"/>
    <x v="4"/>
    <x v="8"/>
    <n v="240"/>
  </r>
  <r>
    <x v="4"/>
    <x v="1"/>
    <x v="4"/>
    <n v="18"/>
    <n v="40"/>
    <x v="9"/>
    <x v="9"/>
    <n v="720"/>
  </r>
  <r>
    <x v="4"/>
    <x v="1"/>
    <x v="3"/>
    <n v="18"/>
    <n v="40"/>
    <x v="10"/>
    <x v="10"/>
    <n v="720"/>
  </r>
  <r>
    <x v="4"/>
    <x v="3"/>
    <x v="3"/>
    <n v="22"/>
    <n v="16"/>
    <x v="3"/>
    <x v="11"/>
    <n v="352"/>
  </r>
  <r>
    <x v="4"/>
    <x v="3"/>
    <x v="2"/>
    <n v="12"/>
    <n v="16"/>
    <x v="2"/>
    <x v="0"/>
    <n v="192"/>
  </r>
  <r>
    <x v="5"/>
    <x v="0"/>
    <x v="0"/>
    <n v="20"/>
    <n v="80"/>
    <x v="0"/>
    <x v="1"/>
    <n v="1600"/>
  </r>
  <r>
    <x v="5"/>
    <x v="2"/>
    <x v="2"/>
    <n v="10"/>
    <n v="230"/>
    <x v="4"/>
    <x v="2"/>
    <n v="2300"/>
  </r>
  <r>
    <x v="5"/>
    <x v="2"/>
    <x v="1"/>
    <n v="9"/>
    <n v="230"/>
    <x v="3"/>
    <x v="3"/>
    <n v="2070"/>
  </r>
  <r>
    <x v="5"/>
    <x v="0"/>
    <x v="1"/>
    <n v="17"/>
    <n v="80"/>
    <x v="3"/>
    <x v="4"/>
    <n v="1360"/>
  </r>
  <r>
    <x v="5"/>
    <x v="1"/>
    <x v="4"/>
    <n v="4"/>
    <n v="40"/>
    <x v="7"/>
    <x v="5"/>
    <n v="160"/>
  </r>
  <r>
    <x v="5"/>
    <x v="4"/>
    <x v="1"/>
    <n v="16"/>
    <n v="150"/>
    <x v="3"/>
    <x v="6"/>
    <n v="2400"/>
  </r>
  <r>
    <x v="5"/>
    <x v="0"/>
    <x v="2"/>
    <n v="8"/>
    <n v="80"/>
    <x v="4"/>
    <x v="7"/>
    <n v="640"/>
  </r>
  <r>
    <x v="5"/>
    <x v="1"/>
    <x v="3"/>
    <n v="23"/>
    <n v="40"/>
    <x v="9"/>
    <x v="8"/>
    <n v="920"/>
  </r>
  <r>
    <x v="6"/>
    <x v="4"/>
    <x v="3"/>
    <n v="20"/>
    <n v="150"/>
    <x v="6"/>
    <x v="9"/>
    <n v="3000"/>
  </r>
  <r>
    <x v="6"/>
    <x v="2"/>
    <x v="4"/>
    <n v="22"/>
    <n v="230"/>
    <x v="6"/>
    <x v="10"/>
    <n v="5060"/>
  </r>
  <r>
    <x v="6"/>
    <x v="2"/>
    <x v="1"/>
    <n v="6"/>
    <n v="230"/>
    <x v="6"/>
    <x v="11"/>
    <n v="1380"/>
  </r>
  <r>
    <x v="6"/>
    <x v="0"/>
    <x v="3"/>
    <n v="10"/>
    <n v="80"/>
    <x v="6"/>
    <x v="0"/>
    <n v="800"/>
  </r>
  <r>
    <x v="6"/>
    <x v="2"/>
    <x v="4"/>
    <n v="21"/>
    <n v="230"/>
    <x v="1"/>
    <x v="1"/>
    <n v="4830"/>
  </r>
  <r>
    <x v="6"/>
    <x v="2"/>
    <x v="0"/>
    <n v="20"/>
    <n v="230"/>
    <x v="10"/>
    <x v="2"/>
    <n v="4600"/>
  </r>
  <r>
    <x v="6"/>
    <x v="0"/>
    <x v="2"/>
    <n v="20"/>
    <n v="80"/>
    <x v="8"/>
    <x v="3"/>
    <n v="1600"/>
  </r>
  <r>
    <x v="6"/>
    <x v="0"/>
    <x v="2"/>
    <n v="7"/>
    <n v="80"/>
    <x v="1"/>
    <x v="4"/>
    <n v="560"/>
  </r>
  <r>
    <x v="6"/>
    <x v="0"/>
    <x v="0"/>
    <n v="8"/>
    <n v="80"/>
    <x v="7"/>
    <x v="5"/>
    <n v="640"/>
  </r>
  <r>
    <x v="6"/>
    <x v="0"/>
    <x v="1"/>
    <n v="3"/>
    <n v="80"/>
    <x v="4"/>
    <x v="6"/>
    <n v="240"/>
  </r>
  <r>
    <x v="6"/>
    <x v="0"/>
    <x v="3"/>
    <n v="8"/>
    <n v="80"/>
    <x v="9"/>
    <x v="7"/>
    <n v="640"/>
  </r>
  <r>
    <x v="6"/>
    <x v="4"/>
    <x v="4"/>
    <n v="13"/>
    <n v="150"/>
    <x v="2"/>
    <x v="8"/>
    <n v="1950"/>
  </r>
  <r>
    <x v="6"/>
    <x v="0"/>
    <x v="3"/>
    <n v="15"/>
    <n v="80"/>
    <x v="5"/>
    <x v="9"/>
    <n v="1200"/>
  </r>
  <r>
    <x v="6"/>
    <x v="4"/>
    <x v="4"/>
    <n v="7"/>
    <n v="150"/>
    <x v="4"/>
    <x v="10"/>
    <n v="1050"/>
  </r>
  <r>
    <x v="6"/>
    <x v="1"/>
    <x v="2"/>
    <n v="6"/>
    <n v="40"/>
    <x v="9"/>
    <x v="11"/>
    <n v="240"/>
  </r>
  <r>
    <x v="6"/>
    <x v="0"/>
    <x v="3"/>
    <n v="23"/>
    <n v="80"/>
    <x v="2"/>
    <x v="0"/>
    <n v="1840"/>
  </r>
  <r>
    <x v="6"/>
    <x v="2"/>
    <x v="2"/>
    <n v="18"/>
    <n v="230"/>
    <x v="0"/>
    <x v="1"/>
    <n v="4140"/>
  </r>
  <r>
    <x v="7"/>
    <x v="0"/>
    <x v="4"/>
    <n v="21"/>
    <n v="80"/>
    <x v="7"/>
    <x v="2"/>
    <n v="1680"/>
  </r>
  <r>
    <x v="7"/>
    <x v="1"/>
    <x v="2"/>
    <n v="13"/>
    <n v="40"/>
    <x v="4"/>
    <x v="3"/>
    <n v="520"/>
  </r>
  <r>
    <x v="7"/>
    <x v="0"/>
    <x v="2"/>
    <n v="23"/>
    <n v="80"/>
    <x v="1"/>
    <x v="4"/>
    <n v="1840"/>
  </r>
  <r>
    <x v="7"/>
    <x v="4"/>
    <x v="3"/>
    <n v="15"/>
    <n v="150"/>
    <x v="1"/>
    <x v="5"/>
    <n v="2250"/>
  </r>
  <r>
    <x v="7"/>
    <x v="1"/>
    <x v="0"/>
    <n v="5"/>
    <n v="40"/>
    <x v="7"/>
    <x v="6"/>
    <n v="200"/>
  </r>
  <r>
    <x v="7"/>
    <x v="3"/>
    <x v="3"/>
    <n v="10"/>
    <n v="16"/>
    <x v="0"/>
    <x v="7"/>
    <n v="160"/>
  </r>
  <r>
    <x v="7"/>
    <x v="2"/>
    <x v="2"/>
    <n v="2"/>
    <n v="230"/>
    <x v="7"/>
    <x v="8"/>
    <n v="460"/>
  </r>
  <r>
    <x v="7"/>
    <x v="0"/>
    <x v="3"/>
    <n v="7"/>
    <n v="80"/>
    <x v="4"/>
    <x v="9"/>
    <n v="560"/>
  </r>
  <r>
    <x v="7"/>
    <x v="4"/>
    <x v="3"/>
    <n v="22"/>
    <n v="150"/>
    <x v="1"/>
    <x v="10"/>
    <n v="3300"/>
  </r>
  <r>
    <x v="7"/>
    <x v="1"/>
    <x v="4"/>
    <n v="17"/>
    <n v="40"/>
    <x v="4"/>
    <x v="11"/>
    <n v="680"/>
  </r>
  <r>
    <x v="7"/>
    <x v="3"/>
    <x v="0"/>
    <n v="22"/>
    <n v="16"/>
    <x v="9"/>
    <x v="0"/>
    <n v="352"/>
  </r>
  <r>
    <x v="7"/>
    <x v="3"/>
    <x v="4"/>
    <n v="3"/>
    <n v="16"/>
    <x v="3"/>
    <x v="1"/>
    <n v="48"/>
  </r>
  <r>
    <x v="7"/>
    <x v="2"/>
    <x v="4"/>
    <n v="2"/>
    <n v="230"/>
    <x v="5"/>
    <x v="2"/>
    <n v="460"/>
  </r>
  <r>
    <x v="7"/>
    <x v="3"/>
    <x v="0"/>
    <n v="21"/>
    <n v="16"/>
    <x v="7"/>
    <x v="3"/>
    <n v="336"/>
  </r>
  <r>
    <x v="7"/>
    <x v="0"/>
    <x v="3"/>
    <n v="7"/>
    <n v="80"/>
    <x v="8"/>
    <x v="4"/>
    <n v="560"/>
  </r>
  <r>
    <x v="7"/>
    <x v="4"/>
    <x v="1"/>
    <n v="23"/>
    <n v="150"/>
    <x v="2"/>
    <x v="5"/>
    <n v="3450"/>
  </r>
  <r>
    <x v="8"/>
    <x v="4"/>
    <x v="0"/>
    <n v="11"/>
    <n v="150"/>
    <x v="1"/>
    <x v="6"/>
    <n v="1650"/>
  </r>
  <r>
    <x v="8"/>
    <x v="0"/>
    <x v="4"/>
    <n v="16"/>
    <n v="80"/>
    <x v="1"/>
    <x v="7"/>
    <n v="1280"/>
  </r>
  <r>
    <x v="8"/>
    <x v="2"/>
    <x v="2"/>
    <n v="5"/>
    <n v="230"/>
    <x v="6"/>
    <x v="8"/>
    <n v="1150"/>
  </r>
  <r>
    <x v="8"/>
    <x v="3"/>
    <x v="0"/>
    <n v="22"/>
    <n v="16"/>
    <x v="0"/>
    <x v="9"/>
    <n v="352"/>
  </r>
  <r>
    <x v="8"/>
    <x v="1"/>
    <x v="4"/>
    <n v="7"/>
    <n v="40"/>
    <x v="11"/>
    <x v="0"/>
    <n v="280"/>
  </r>
  <r>
    <x v="8"/>
    <x v="0"/>
    <x v="1"/>
    <n v="2"/>
    <n v="80"/>
    <x v="10"/>
    <x v="1"/>
    <n v="160"/>
  </r>
  <r>
    <x v="8"/>
    <x v="1"/>
    <x v="3"/>
    <n v="6"/>
    <n v="40"/>
    <x v="8"/>
    <x v="2"/>
    <n v="240"/>
  </r>
  <r>
    <x v="8"/>
    <x v="0"/>
    <x v="2"/>
    <n v="6"/>
    <n v="80"/>
    <x v="0"/>
    <x v="3"/>
    <n v="480"/>
  </r>
  <r>
    <x v="8"/>
    <x v="3"/>
    <x v="1"/>
    <n v="22"/>
    <n v="16"/>
    <x v="0"/>
    <x v="4"/>
    <n v="352"/>
  </r>
  <r>
    <x v="8"/>
    <x v="2"/>
    <x v="3"/>
    <n v="7"/>
    <n v="230"/>
    <x v="9"/>
    <x v="5"/>
    <n v="1610"/>
  </r>
  <r>
    <x v="9"/>
    <x v="3"/>
    <x v="3"/>
    <n v="22"/>
    <n v="16"/>
    <x v="3"/>
    <x v="6"/>
    <n v="352"/>
  </r>
  <r>
    <x v="9"/>
    <x v="1"/>
    <x v="4"/>
    <n v="20"/>
    <n v="40"/>
    <x v="1"/>
    <x v="7"/>
    <n v="800"/>
  </r>
  <r>
    <x v="9"/>
    <x v="1"/>
    <x v="1"/>
    <n v="19"/>
    <n v="40"/>
    <x v="6"/>
    <x v="8"/>
    <n v="760"/>
  </r>
  <r>
    <x v="9"/>
    <x v="3"/>
    <x v="0"/>
    <n v="18"/>
    <n v="16"/>
    <x v="1"/>
    <x v="9"/>
    <n v="288"/>
  </r>
  <r>
    <x v="9"/>
    <x v="1"/>
    <x v="2"/>
    <n v="2"/>
    <n v="40"/>
    <x v="4"/>
    <x v="10"/>
    <n v="80"/>
  </r>
  <r>
    <x v="9"/>
    <x v="1"/>
    <x v="3"/>
    <n v="7"/>
    <n v="40"/>
    <x v="8"/>
    <x v="11"/>
    <n v="280"/>
  </r>
  <r>
    <x v="9"/>
    <x v="4"/>
    <x v="2"/>
    <n v="11"/>
    <n v="150"/>
    <x v="1"/>
    <x v="0"/>
    <n v="1650"/>
  </r>
  <r>
    <x v="9"/>
    <x v="0"/>
    <x v="1"/>
    <n v="14"/>
    <n v="80"/>
    <x v="2"/>
    <x v="1"/>
    <n v="1120"/>
  </r>
  <r>
    <x v="9"/>
    <x v="1"/>
    <x v="4"/>
    <n v="7"/>
    <n v="40"/>
    <x v="10"/>
    <x v="2"/>
    <n v="280"/>
  </r>
  <r>
    <x v="9"/>
    <x v="0"/>
    <x v="3"/>
    <n v="14"/>
    <n v="80"/>
    <x v="1"/>
    <x v="3"/>
    <n v="1120"/>
  </r>
  <r>
    <x v="10"/>
    <x v="3"/>
    <x v="2"/>
    <n v="12"/>
    <n v="16"/>
    <x v="2"/>
    <x v="4"/>
    <n v="192"/>
  </r>
  <r>
    <x v="10"/>
    <x v="1"/>
    <x v="4"/>
    <n v="11"/>
    <n v="40"/>
    <x v="1"/>
    <x v="5"/>
    <n v="440"/>
  </r>
  <r>
    <x v="10"/>
    <x v="3"/>
    <x v="2"/>
    <n v="14"/>
    <n v="16"/>
    <x v="0"/>
    <x v="6"/>
    <n v="224"/>
  </r>
  <r>
    <x v="10"/>
    <x v="2"/>
    <x v="3"/>
    <n v="2"/>
    <n v="230"/>
    <x v="5"/>
    <x v="7"/>
    <n v="460"/>
  </r>
  <r>
    <x v="10"/>
    <x v="3"/>
    <x v="0"/>
    <n v="20"/>
    <n v="16"/>
    <x v="2"/>
    <x v="8"/>
    <n v="320"/>
  </r>
  <r>
    <x v="10"/>
    <x v="3"/>
    <x v="2"/>
    <n v="6"/>
    <n v="16"/>
    <x v="9"/>
    <x v="9"/>
    <n v="96"/>
  </r>
  <r>
    <x v="10"/>
    <x v="0"/>
    <x v="3"/>
    <n v="17"/>
    <n v="80"/>
    <x v="1"/>
    <x v="10"/>
    <n v="1360"/>
  </r>
  <r>
    <x v="10"/>
    <x v="1"/>
    <x v="0"/>
    <n v="2"/>
    <n v="40"/>
    <x v="11"/>
    <x v="11"/>
    <n v="80"/>
  </r>
  <r>
    <x v="10"/>
    <x v="3"/>
    <x v="0"/>
    <n v="7"/>
    <n v="16"/>
    <x v="11"/>
    <x v="0"/>
    <n v="112"/>
  </r>
  <r>
    <x v="10"/>
    <x v="4"/>
    <x v="0"/>
    <n v="7"/>
    <n v="150"/>
    <x v="4"/>
    <x v="1"/>
    <n v="1050"/>
  </r>
  <r>
    <x v="10"/>
    <x v="0"/>
    <x v="0"/>
    <n v="20"/>
    <n v="80"/>
    <x v="0"/>
    <x v="2"/>
    <n v="1600"/>
  </r>
  <r>
    <x v="10"/>
    <x v="0"/>
    <x v="3"/>
    <n v="11"/>
    <n v="80"/>
    <x v="0"/>
    <x v="3"/>
    <n v="880"/>
  </r>
  <r>
    <x v="10"/>
    <x v="0"/>
    <x v="2"/>
    <n v="10"/>
    <n v="80"/>
    <x v="5"/>
    <x v="4"/>
    <n v="800"/>
  </r>
  <r>
    <x v="11"/>
    <x v="0"/>
    <x v="1"/>
    <n v="5"/>
    <n v="80"/>
    <x v="10"/>
    <x v="5"/>
    <n v="400"/>
  </r>
  <r>
    <x v="11"/>
    <x v="0"/>
    <x v="3"/>
    <n v="4"/>
    <n v="80"/>
    <x v="2"/>
    <x v="6"/>
    <n v="320"/>
  </r>
  <r>
    <x v="11"/>
    <x v="3"/>
    <x v="2"/>
    <n v="3"/>
    <n v="16"/>
    <x v="1"/>
    <x v="7"/>
    <n v="48"/>
  </r>
  <r>
    <x v="11"/>
    <x v="0"/>
    <x v="0"/>
    <n v="9"/>
    <n v="80"/>
    <x v="10"/>
    <x v="8"/>
    <n v="720"/>
  </r>
  <r>
    <x v="11"/>
    <x v="0"/>
    <x v="4"/>
    <n v="16"/>
    <n v="80"/>
    <x v="7"/>
    <x v="9"/>
    <n v="1280"/>
  </r>
  <r>
    <x v="12"/>
    <x v="3"/>
    <x v="1"/>
    <n v="7"/>
    <n v="16"/>
    <x v="5"/>
    <x v="10"/>
    <n v="112"/>
  </r>
  <r>
    <x v="12"/>
    <x v="4"/>
    <x v="1"/>
    <n v="16"/>
    <n v="150"/>
    <x v="1"/>
    <x v="11"/>
    <n v="2400"/>
  </r>
  <r>
    <x v="12"/>
    <x v="3"/>
    <x v="3"/>
    <n v="10"/>
    <n v="16"/>
    <x v="10"/>
    <x v="0"/>
    <n v="160"/>
  </r>
  <r>
    <x v="12"/>
    <x v="1"/>
    <x v="1"/>
    <n v="4"/>
    <n v="40"/>
    <x v="3"/>
    <x v="1"/>
    <n v="160"/>
  </r>
  <r>
    <x v="12"/>
    <x v="1"/>
    <x v="1"/>
    <n v="15"/>
    <n v="40"/>
    <x v="4"/>
    <x v="2"/>
    <n v="600"/>
  </r>
  <r>
    <x v="12"/>
    <x v="0"/>
    <x v="2"/>
    <n v="6"/>
    <n v="80"/>
    <x v="7"/>
    <x v="3"/>
    <n v="480"/>
  </r>
  <r>
    <x v="12"/>
    <x v="4"/>
    <x v="0"/>
    <n v="20"/>
    <n v="150"/>
    <x v="0"/>
    <x v="4"/>
    <n v="3000"/>
  </r>
  <r>
    <x v="12"/>
    <x v="3"/>
    <x v="0"/>
    <n v="7"/>
    <n v="16"/>
    <x v="5"/>
    <x v="5"/>
    <n v="112"/>
  </r>
  <r>
    <x v="12"/>
    <x v="0"/>
    <x v="1"/>
    <n v="2"/>
    <n v="80"/>
    <x v="8"/>
    <x v="6"/>
    <n v="160"/>
  </r>
  <r>
    <x v="12"/>
    <x v="1"/>
    <x v="1"/>
    <n v="23"/>
    <n v="40"/>
    <x v="9"/>
    <x v="7"/>
    <n v="920"/>
  </r>
  <r>
    <x v="12"/>
    <x v="3"/>
    <x v="0"/>
    <n v="12"/>
    <n v="16"/>
    <x v="2"/>
    <x v="8"/>
    <n v="192"/>
  </r>
  <r>
    <x v="12"/>
    <x v="2"/>
    <x v="3"/>
    <n v="2"/>
    <n v="230"/>
    <x v="7"/>
    <x v="9"/>
    <n v="460"/>
  </r>
  <r>
    <x v="12"/>
    <x v="4"/>
    <x v="0"/>
    <n v="4"/>
    <n v="150"/>
    <x v="9"/>
    <x v="10"/>
    <n v="600"/>
  </r>
  <r>
    <x v="12"/>
    <x v="1"/>
    <x v="0"/>
    <n v="23"/>
    <n v="40"/>
    <x v="8"/>
    <x v="11"/>
    <n v="920"/>
  </r>
  <r>
    <x v="12"/>
    <x v="3"/>
    <x v="4"/>
    <n v="2"/>
    <n v="16"/>
    <x v="10"/>
    <x v="0"/>
    <n v="32"/>
  </r>
  <r>
    <x v="12"/>
    <x v="4"/>
    <x v="3"/>
    <n v="7"/>
    <n v="150"/>
    <x v="1"/>
    <x v="1"/>
    <n v="1050"/>
  </r>
  <r>
    <x v="13"/>
    <x v="1"/>
    <x v="0"/>
    <n v="15"/>
    <n v="40"/>
    <x v="9"/>
    <x v="2"/>
    <n v="600"/>
  </r>
  <r>
    <x v="13"/>
    <x v="0"/>
    <x v="3"/>
    <n v="16"/>
    <n v="80"/>
    <x v="1"/>
    <x v="3"/>
    <n v="1280"/>
  </r>
  <r>
    <x v="13"/>
    <x v="1"/>
    <x v="4"/>
    <n v="16"/>
    <n v="40"/>
    <x v="2"/>
    <x v="4"/>
    <n v="640"/>
  </r>
  <r>
    <x v="13"/>
    <x v="3"/>
    <x v="4"/>
    <n v="23"/>
    <n v="16"/>
    <x v="0"/>
    <x v="5"/>
    <n v="368"/>
  </r>
  <r>
    <x v="13"/>
    <x v="2"/>
    <x v="1"/>
    <n v="12"/>
    <n v="230"/>
    <x v="3"/>
    <x v="6"/>
    <n v="2760"/>
  </r>
  <r>
    <x v="13"/>
    <x v="3"/>
    <x v="0"/>
    <n v="4"/>
    <n v="16"/>
    <x v="11"/>
    <x v="7"/>
    <n v="64"/>
  </r>
  <r>
    <x v="13"/>
    <x v="4"/>
    <x v="3"/>
    <n v="3"/>
    <n v="150"/>
    <x v="0"/>
    <x v="8"/>
    <n v="450"/>
  </r>
  <r>
    <x v="13"/>
    <x v="4"/>
    <x v="1"/>
    <n v="10"/>
    <n v="150"/>
    <x v="0"/>
    <x v="9"/>
    <n v="1500"/>
  </r>
  <r>
    <x v="13"/>
    <x v="0"/>
    <x v="1"/>
    <n v="13"/>
    <n v="80"/>
    <x v="9"/>
    <x v="10"/>
    <n v="1040"/>
  </r>
  <r>
    <x v="13"/>
    <x v="2"/>
    <x v="2"/>
    <n v="15"/>
    <n v="230"/>
    <x v="10"/>
    <x v="11"/>
    <n v="3450"/>
  </r>
  <r>
    <x v="13"/>
    <x v="4"/>
    <x v="0"/>
    <n v="23"/>
    <n v="150"/>
    <x v="6"/>
    <x v="0"/>
    <n v="3450"/>
  </r>
  <r>
    <x v="13"/>
    <x v="4"/>
    <x v="1"/>
    <n v="15"/>
    <n v="150"/>
    <x v="11"/>
    <x v="1"/>
    <n v="2250"/>
  </r>
  <r>
    <x v="13"/>
    <x v="4"/>
    <x v="2"/>
    <n v="20"/>
    <n v="150"/>
    <x v="11"/>
    <x v="2"/>
    <n v="3000"/>
  </r>
  <r>
    <x v="13"/>
    <x v="1"/>
    <x v="3"/>
    <n v="13"/>
    <n v="40"/>
    <x v="7"/>
    <x v="3"/>
    <n v="520"/>
  </r>
  <r>
    <x v="14"/>
    <x v="3"/>
    <x v="2"/>
    <n v="11"/>
    <n v="16"/>
    <x v="10"/>
    <x v="4"/>
    <n v="176"/>
  </r>
  <r>
    <x v="14"/>
    <x v="4"/>
    <x v="2"/>
    <n v="20"/>
    <n v="150"/>
    <x v="10"/>
    <x v="5"/>
    <n v="3000"/>
  </r>
  <r>
    <x v="14"/>
    <x v="1"/>
    <x v="0"/>
    <n v="18"/>
    <n v="40"/>
    <x v="2"/>
    <x v="6"/>
    <n v="720"/>
  </r>
  <r>
    <x v="14"/>
    <x v="1"/>
    <x v="2"/>
    <n v="2"/>
    <n v="40"/>
    <x v="3"/>
    <x v="7"/>
    <n v="80"/>
  </r>
  <r>
    <x v="14"/>
    <x v="3"/>
    <x v="3"/>
    <n v="15"/>
    <n v="16"/>
    <x v="11"/>
    <x v="8"/>
    <n v="240"/>
  </r>
  <r>
    <x v="14"/>
    <x v="3"/>
    <x v="2"/>
    <n v="9"/>
    <n v="16"/>
    <x v="1"/>
    <x v="9"/>
    <n v="144"/>
  </r>
  <r>
    <x v="14"/>
    <x v="1"/>
    <x v="4"/>
    <n v="7"/>
    <n v="40"/>
    <x v="1"/>
    <x v="0"/>
    <n v="280"/>
  </r>
  <r>
    <x v="14"/>
    <x v="4"/>
    <x v="4"/>
    <n v="4"/>
    <n v="150"/>
    <x v="1"/>
    <x v="1"/>
    <n v="600"/>
  </r>
  <r>
    <x v="14"/>
    <x v="2"/>
    <x v="0"/>
    <n v="15"/>
    <n v="230"/>
    <x v="1"/>
    <x v="2"/>
    <n v="3450"/>
  </r>
  <r>
    <x v="15"/>
    <x v="1"/>
    <x v="1"/>
    <n v="12"/>
    <n v="40"/>
    <x v="6"/>
    <x v="3"/>
    <n v="480"/>
  </r>
  <r>
    <x v="15"/>
    <x v="2"/>
    <x v="3"/>
    <n v="23"/>
    <n v="230"/>
    <x v="9"/>
    <x v="4"/>
    <n v="5290"/>
  </r>
  <r>
    <x v="15"/>
    <x v="3"/>
    <x v="0"/>
    <n v="11"/>
    <n v="16"/>
    <x v="7"/>
    <x v="5"/>
    <n v="176"/>
  </r>
  <r>
    <x v="15"/>
    <x v="4"/>
    <x v="0"/>
    <n v="9"/>
    <n v="150"/>
    <x v="6"/>
    <x v="6"/>
    <n v="1350"/>
  </r>
  <r>
    <x v="15"/>
    <x v="0"/>
    <x v="0"/>
    <n v="18"/>
    <n v="80"/>
    <x v="4"/>
    <x v="7"/>
    <n v="1440"/>
  </r>
  <r>
    <x v="15"/>
    <x v="1"/>
    <x v="4"/>
    <n v="23"/>
    <n v="40"/>
    <x v="10"/>
    <x v="8"/>
    <n v="920"/>
  </r>
  <r>
    <x v="15"/>
    <x v="3"/>
    <x v="4"/>
    <n v="17"/>
    <n v="16"/>
    <x v="6"/>
    <x v="9"/>
    <n v="272"/>
  </r>
  <r>
    <x v="15"/>
    <x v="4"/>
    <x v="4"/>
    <n v="17"/>
    <n v="150"/>
    <x v="4"/>
    <x v="10"/>
    <n v="2550"/>
  </r>
  <r>
    <x v="15"/>
    <x v="0"/>
    <x v="3"/>
    <n v="21"/>
    <n v="80"/>
    <x v="4"/>
    <x v="11"/>
    <n v="1680"/>
  </r>
  <r>
    <x v="15"/>
    <x v="1"/>
    <x v="3"/>
    <n v="11"/>
    <n v="40"/>
    <x v="9"/>
    <x v="0"/>
    <n v="440"/>
  </r>
  <r>
    <x v="15"/>
    <x v="1"/>
    <x v="0"/>
    <n v="19"/>
    <n v="40"/>
    <x v="10"/>
    <x v="1"/>
    <n v="760"/>
  </r>
  <r>
    <x v="15"/>
    <x v="1"/>
    <x v="0"/>
    <n v="23"/>
    <n v="40"/>
    <x v="3"/>
    <x v="2"/>
    <n v="920"/>
  </r>
  <r>
    <x v="15"/>
    <x v="2"/>
    <x v="1"/>
    <n v="14"/>
    <n v="230"/>
    <x v="1"/>
    <x v="3"/>
    <n v="3220"/>
  </r>
  <r>
    <x v="15"/>
    <x v="1"/>
    <x v="2"/>
    <n v="18"/>
    <n v="40"/>
    <x v="3"/>
    <x v="4"/>
    <n v="720"/>
  </r>
  <r>
    <x v="15"/>
    <x v="4"/>
    <x v="1"/>
    <n v="2"/>
    <n v="150"/>
    <x v="7"/>
    <x v="5"/>
    <n v="300"/>
  </r>
  <r>
    <x v="15"/>
    <x v="2"/>
    <x v="1"/>
    <n v="7"/>
    <n v="230"/>
    <x v="1"/>
    <x v="6"/>
    <n v="1610"/>
  </r>
  <r>
    <x v="16"/>
    <x v="4"/>
    <x v="2"/>
    <n v="9"/>
    <n v="150"/>
    <x v="4"/>
    <x v="7"/>
    <n v="1350"/>
  </r>
  <r>
    <x v="16"/>
    <x v="1"/>
    <x v="4"/>
    <n v="3"/>
    <n v="40"/>
    <x v="3"/>
    <x v="8"/>
    <n v="120"/>
  </r>
  <r>
    <x v="16"/>
    <x v="0"/>
    <x v="3"/>
    <n v="2"/>
    <n v="80"/>
    <x v="5"/>
    <x v="9"/>
    <n v="160"/>
  </r>
  <r>
    <x v="16"/>
    <x v="3"/>
    <x v="4"/>
    <n v="19"/>
    <n v="16"/>
    <x v="4"/>
    <x v="10"/>
    <n v="304"/>
  </r>
  <r>
    <x v="16"/>
    <x v="3"/>
    <x v="1"/>
    <n v="21"/>
    <n v="16"/>
    <x v="4"/>
    <x v="11"/>
    <n v="336"/>
  </r>
  <r>
    <x v="16"/>
    <x v="0"/>
    <x v="3"/>
    <n v="21"/>
    <n v="80"/>
    <x v="1"/>
    <x v="0"/>
    <n v="1680"/>
  </r>
  <r>
    <x v="16"/>
    <x v="2"/>
    <x v="4"/>
    <n v="3"/>
    <n v="230"/>
    <x v="6"/>
    <x v="1"/>
    <n v="690"/>
  </r>
  <r>
    <x v="16"/>
    <x v="1"/>
    <x v="2"/>
    <n v="4"/>
    <n v="40"/>
    <x v="2"/>
    <x v="2"/>
    <n v="160"/>
  </r>
  <r>
    <x v="16"/>
    <x v="4"/>
    <x v="4"/>
    <n v="7"/>
    <n v="150"/>
    <x v="3"/>
    <x v="3"/>
    <n v="1050"/>
  </r>
  <r>
    <x v="16"/>
    <x v="3"/>
    <x v="2"/>
    <n v="11"/>
    <n v="16"/>
    <x v="11"/>
    <x v="4"/>
    <n v="176"/>
  </r>
  <r>
    <x v="16"/>
    <x v="0"/>
    <x v="0"/>
    <n v="17"/>
    <n v="80"/>
    <x v="8"/>
    <x v="5"/>
    <n v="1360"/>
  </r>
  <r>
    <x v="16"/>
    <x v="3"/>
    <x v="3"/>
    <n v="5"/>
    <n v="16"/>
    <x v="7"/>
    <x v="6"/>
    <n v="80"/>
  </r>
  <r>
    <x v="16"/>
    <x v="3"/>
    <x v="4"/>
    <n v="13"/>
    <n v="16"/>
    <x v="8"/>
    <x v="7"/>
    <n v="208"/>
  </r>
  <r>
    <x v="16"/>
    <x v="0"/>
    <x v="4"/>
    <n v="9"/>
    <n v="80"/>
    <x v="4"/>
    <x v="8"/>
    <n v="720"/>
  </r>
  <r>
    <x v="17"/>
    <x v="0"/>
    <x v="4"/>
    <n v="9"/>
    <n v="80"/>
    <x v="4"/>
    <x v="9"/>
    <n v="720"/>
  </r>
  <r>
    <x v="17"/>
    <x v="0"/>
    <x v="3"/>
    <n v="22"/>
    <n v="80"/>
    <x v="3"/>
    <x v="10"/>
    <n v="1760"/>
  </r>
  <r>
    <x v="17"/>
    <x v="4"/>
    <x v="0"/>
    <n v="13"/>
    <n v="150"/>
    <x v="1"/>
    <x v="11"/>
    <n v="1950"/>
  </r>
  <r>
    <x v="17"/>
    <x v="0"/>
    <x v="0"/>
    <n v="14"/>
    <n v="80"/>
    <x v="5"/>
    <x v="0"/>
    <n v="1120"/>
  </r>
  <r>
    <x v="17"/>
    <x v="0"/>
    <x v="0"/>
    <n v="6"/>
    <n v="80"/>
    <x v="8"/>
    <x v="1"/>
    <n v="480"/>
  </r>
  <r>
    <x v="17"/>
    <x v="0"/>
    <x v="0"/>
    <n v="16"/>
    <n v="80"/>
    <x v="3"/>
    <x v="2"/>
    <n v="1280"/>
  </r>
  <r>
    <x v="17"/>
    <x v="4"/>
    <x v="2"/>
    <n v="22"/>
    <n v="150"/>
    <x v="7"/>
    <x v="3"/>
    <n v="3300"/>
  </r>
  <r>
    <x v="17"/>
    <x v="4"/>
    <x v="3"/>
    <n v="4"/>
    <n v="150"/>
    <x v="11"/>
    <x v="4"/>
    <n v="600"/>
  </r>
  <r>
    <x v="17"/>
    <x v="2"/>
    <x v="4"/>
    <n v="7"/>
    <n v="230"/>
    <x v="1"/>
    <x v="5"/>
    <n v="1610"/>
  </r>
  <r>
    <x v="17"/>
    <x v="4"/>
    <x v="3"/>
    <n v="20"/>
    <n v="150"/>
    <x v="6"/>
    <x v="6"/>
    <n v="3000"/>
  </r>
  <r>
    <x v="17"/>
    <x v="2"/>
    <x v="3"/>
    <n v="8"/>
    <n v="230"/>
    <x v="1"/>
    <x v="7"/>
    <n v="1840"/>
  </r>
  <r>
    <x v="18"/>
    <x v="1"/>
    <x v="3"/>
    <n v="9"/>
    <n v="40"/>
    <x v="9"/>
    <x v="8"/>
    <n v="360"/>
  </r>
  <r>
    <x v="18"/>
    <x v="2"/>
    <x v="3"/>
    <n v="19"/>
    <n v="230"/>
    <x v="9"/>
    <x v="9"/>
    <n v="4370"/>
  </r>
  <r>
    <x v="18"/>
    <x v="1"/>
    <x v="3"/>
    <n v="22"/>
    <n v="40"/>
    <x v="0"/>
    <x v="10"/>
    <n v="880"/>
  </r>
  <r>
    <x v="18"/>
    <x v="1"/>
    <x v="0"/>
    <n v="22"/>
    <n v="40"/>
    <x v="4"/>
    <x v="11"/>
    <n v="880"/>
  </r>
  <r>
    <x v="18"/>
    <x v="0"/>
    <x v="4"/>
    <n v="10"/>
    <n v="80"/>
    <x v="9"/>
    <x v="0"/>
    <n v="800"/>
  </r>
  <r>
    <x v="18"/>
    <x v="1"/>
    <x v="3"/>
    <n v="7"/>
    <n v="40"/>
    <x v="2"/>
    <x v="1"/>
    <n v="280"/>
  </r>
  <r>
    <x v="18"/>
    <x v="2"/>
    <x v="0"/>
    <n v="7"/>
    <n v="230"/>
    <x v="5"/>
    <x v="2"/>
    <n v="1610"/>
  </r>
  <r>
    <x v="18"/>
    <x v="3"/>
    <x v="0"/>
    <n v="18"/>
    <n v="16"/>
    <x v="2"/>
    <x v="3"/>
    <n v="288"/>
  </r>
  <r>
    <x v="18"/>
    <x v="2"/>
    <x v="2"/>
    <n v="14"/>
    <n v="230"/>
    <x v="11"/>
    <x v="4"/>
    <n v="3220"/>
  </r>
  <r>
    <x v="18"/>
    <x v="1"/>
    <x v="1"/>
    <n v="21"/>
    <n v="40"/>
    <x v="3"/>
    <x v="5"/>
    <n v="840"/>
  </r>
  <r>
    <x v="18"/>
    <x v="4"/>
    <x v="0"/>
    <n v="3"/>
    <n v="150"/>
    <x v="3"/>
    <x v="6"/>
    <n v="450"/>
  </r>
  <r>
    <x v="18"/>
    <x v="0"/>
    <x v="0"/>
    <n v="12"/>
    <n v="80"/>
    <x v="10"/>
    <x v="7"/>
    <n v="960"/>
  </r>
  <r>
    <x v="19"/>
    <x v="4"/>
    <x v="3"/>
    <n v="6"/>
    <n v="150"/>
    <x v="3"/>
    <x v="8"/>
    <n v="900"/>
  </r>
  <r>
    <x v="19"/>
    <x v="1"/>
    <x v="2"/>
    <n v="20"/>
    <n v="40"/>
    <x v="0"/>
    <x v="9"/>
    <n v="800"/>
  </r>
  <r>
    <x v="19"/>
    <x v="2"/>
    <x v="0"/>
    <n v="3"/>
    <n v="230"/>
    <x v="9"/>
    <x v="6"/>
    <n v="690"/>
  </r>
  <r>
    <x v="19"/>
    <x v="2"/>
    <x v="3"/>
    <n v="3"/>
    <n v="230"/>
    <x v="0"/>
    <x v="7"/>
    <n v="690"/>
  </r>
  <r>
    <x v="19"/>
    <x v="1"/>
    <x v="0"/>
    <n v="20"/>
    <n v="40"/>
    <x v="10"/>
    <x v="8"/>
    <n v="800"/>
  </r>
  <r>
    <x v="19"/>
    <x v="0"/>
    <x v="2"/>
    <n v="16"/>
    <n v="80"/>
    <x v="4"/>
    <x v="9"/>
    <n v="1280"/>
  </r>
  <r>
    <x v="19"/>
    <x v="4"/>
    <x v="0"/>
    <n v="8"/>
    <n v="150"/>
    <x v="7"/>
    <x v="6"/>
    <n v="1200"/>
  </r>
  <r>
    <x v="20"/>
    <x v="2"/>
    <x v="1"/>
    <n v="7"/>
    <n v="230"/>
    <x v="0"/>
    <x v="7"/>
    <n v="1610"/>
  </r>
  <r>
    <x v="20"/>
    <x v="4"/>
    <x v="1"/>
    <n v="23"/>
    <n v="150"/>
    <x v="2"/>
    <x v="8"/>
    <n v="3450"/>
  </r>
  <r>
    <x v="20"/>
    <x v="1"/>
    <x v="4"/>
    <n v="16"/>
    <n v="40"/>
    <x v="7"/>
    <x v="9"/>
    <n v="640"/>
  </r>
  <r>
    <x v="20"/>
    <x v="1"/>
    <x v="4"/>
    <n v="20"/>
    <n v="40"/>
    <x v="6"/>
    <x v="6"/>
    <n v="800"/>
  </r>
  <r>
    <x v="20"/>
    <x v="1"/>
    <x v="1"/>
    <n v="18"/>
    <n v="40"/>
    <x v="5"/>
    <x v="7"/>
    <n v="720"/>
  </r>
  <r>
    <x v="20"/>
    <x v="0"/>
    <x v="4"/>
    <n v="22"/>
    <n v="80"/>
    <x v="7"/>
    <x v="8"/>
    <n v="1760"/>
  </r>
  <r>
    <x v="20"/>
    <x v="4"/>
    <x v="1"/>
    <n v="22"/>
    <n v="150"/>
    <x v="4"/>
    <x v="9"/>
    <n v="3300"/>
  </r>
  <r>
    <x v="20"/>
    <x v="4"/>
    <x v="1"/>
    <n v="20"/>
    <n v="150"/>
    <x v="7"/>
    <x v="6"/>
    <n v="3000"/>
  </r>
  <r>
    <x v="20"/>
    <x v="3"/>
    <x v="0"/>
    <n v="10"/>
    <n v="16"/>
    <x v="5"/>
    <x v="7"/>
    <n v="160"/>
  </r>
  <r>
    <x v="20"/>
    <x v="1"/>
    <x v="2"/>
    <n v="12"/>
    <n v="40"/>
    <x v="4"/>
    <x v="8"/>
    <n v="480"/>
  </r>
  <r>
    <x v="20"/>
    <x v="4"/>
    <x v="0"/>
    <n v="4"/>
    <n v="150"/>
    <x v="6"/>
    <x v="9"/>
    <n v="600"/>
  </r>
  <r>
    <x v="20"/>
    <x v="0"/>
    <x v="2"/>
    <n v="5"/>
    <n v="80"/>
    <x v="7"/>
    <x v="6"/>
    <n v="400"/>
  </r>
  <r>
    <x v="20"/>
    <x v="1"/>
    <x v="0"/>
    <n v="11"/>
    <n v="40"/>
    <x v="10"/>
    <x v="7"/>
    <n v="440"/>
  </r>
  <r>
    <x v="20"/>
    <x v="4"/>
    <x v="1"/>
    <n v="13"/>
    <n v="150"/>
    <x v="5"/>
    <x v="8"/>
    <n v="1950"/>
  </r>
  <r>
    <x v="20"/>
    <x v="0"/>
    <x v="3"/>
    <n v="19"/>
    <n v="80"/>
    <x v="4"/>
    <x v="9"/>
    <n v="1520"/>
  </r>
  <r>
    <x v="20"/>
    <x v="2"/>
    <x v="1"/>
    <n v="7"/>
    <n v="230"/>
    <x v="0"/>
    <x v="6"/>
    <n v="1610"/>
  </r>
  <r>
    <x v="21"/>
    <x v="0"/>
    <x v="4"/>
    <n v="16"/>
    <n v="80"/>
    <x v="7"/>
    <x v="7"/>
    <n v="1280"/>
  </r>
  <r>
    <x v="21"/>
    <x v="2"/>
    <x v="0"/>
    <n v="7"/>
    <n v="230"/>
    <x v="4"/>
    <x v="8"/>
    <n v="1610"/>
  </r>
  <r>
    <x v="21"/>
    <x v="1"/>
    <x v="0"/>
    <n v="5"/>
    <n v="40"/>
    <x v="9"/>
    <x v="9"/>
    <n v="200"/>
  </r>
  <r>
    <x v="21"/>
    <x v="4"/>
    <x v="2"/>
    <n v="9"/>
    <n v="150"/>
    <x v="9"/>
    <x v="6"/>
    <n v="1350"/>
  </r>
  <r>
    <x v="21"/>
    <x v="1"/>
    <x v="4"/>
    <n v="20"/>
    <n v="40"/>
    <x v="8"/>
    <x v="7"/>
    <n v="800"/>
  </r>
  <r>
    <x v="21"/>
    <x v="3"/>
    <x v="1"/>
    <n v="20"/>
    <n v="16"/>
    <x v="9"/>
    <x v="8"/>
    <n v="320"/>
  </r>
  <r>
    <x v="21"/>
    <x v="1"/>
    <x v="4"/>
    <n v="5"/>
    <n v="40"/>
    <x v="3"/>
    <x v="9"/>
    <n v="200"/>
  </r>
  <r>
    <x v="22"/>
    <x v="0"/>
    <x v="3"/>
    <n v="7"/>
    <n v="80"/>
    <x v="8"/>
    <x v="6"/>
    <n v="560"/>
  </r>
  <r>
    <x v="22"/>
    <x v="3"/>
    <x v="4"/>
    <n v="22"/>
    <n v="16"/>
    <x v="11"/>
    <x v="7"/>
    <n v="352"/>
  </r>
  <r>
    <x v="22"/>
    <x v="3"/>
    <x v="4"/>
    <n v="11"/>
    <n v="16"/>
    <x v="11"/>
    <x v="8"/>
    <n v="176"/>
  </r>
  <r>
    <x v="22"/>
    <x v="2"/>
    <x v="3"/>
    <n v="17"/>
    <n v="230"/>
    <x v="11"/>
    <x v="9"/>
    <n v="3910"/>
  </r>
  <r>
    <x v="22"/>
    <x v="0"/>
    <x v="0"/>
    <n v="7"/>
    <n v="80"/>
    <x v="4"/>
    <x v="6"/>
    <n v="560"/>
  </r>
  <r>
    <x v="22"/>
    <x v="3"/>
    <x v="1"/>
    <n v="5"/>
    <n v="16"/>
    <x v="2"/>
    <x v="7"/>
    <n v="80"/>
  </r>
  <r>
    <x v="22"/>
    <x v="4"/>
    <x v="4"/>
    <n v="18"/>
    <n v="150"/>
    <x v="11"/>
    <x v="8"/>
    <n v="2700"/>
  </r>
  <r>
    <x v="22"/>
    <x v="1"/>
    <x v="4"/>
    <n v="10"/>
    <n v="40"/>
    <x v="3"/>
    <x v="9"/>
    <n v="400"/>
  </r>
  <r>
    <x v="22"/>
    <x v="1"/>
    <x v="4"/>
    <n v="14"/>
    <n v="40"/>
    <x v="2"/>
    <x v="6"/>
    <n v="560"/>
  </r>
  <r>
    <x v="22"/>
    <x v="1"/>
    <x v="4"/>
    <n v="16"/>
    <n v="40"/>
    <x v="7"/>
    <x v="7"/>
    <n v="640"/>
  </r>
  <r>
    <x v="23"/>
    <x v="1"/>
    <x v="3"/>
    <n v="23"/>
    <n v="40"/>
    <x v="9"/>
    <x v="8"/>
    <n v="920"/>
  </r>
  <r>
    <x v="23"/>
    <x v="2"/>
    <x v="3"/>
    <n v="8"/>
    <n v="230"/>
    <x v="1"/>
    <x v="9"/>
    <n v="1840"/>
  </r>
  <r>
    <x v="23"/>
    <x v="3"/>
    <x v="3"/>
    <n v="14"/>
    <n v="16"/>
    <x v="11"/>
    <x v="6"/>
    <n v="224"/>
  </r>
  <r>
    <x v="23"/>
    <x v="0"/>
    <x v="0"/>
    <n v="17"/>
    <n v="80"/>
    <x v="7"/>
    <x v="7"/>
    <n v="1360"/>
  </r>
  <r>
    <x v="23"/>
    <x v="4"/>
    <x v="2"/>
    <n v="11"/>
    <n v="150"/>
    <x v="2"/>
    <x v="8"/>
    <n v="1650"/>
  </r>
  <r>
    <x v="23"/>
    <x v="1"/>
    <x v="3"/>
    <n v="15"/>
    <n v="40"/>
    <x v="3"/>
    <x v="9"/>
    <n v="600"/>
  </r>
  <r>
    <x v="23"/>
    <x v="0"/>
    <x v="4"/>
    <n v="9"/>
    <n v="80"/>
    <x v="8"/>
    <x v="6"/>
    <n v="720"/>
  </r>
  <r>
    <x v="23"/>
    <x v="2"/>
    <x v="1"/>
    <n v="22"/>
    <n v="230"/>
    <x v="10"/>
    <x v="7"/>
    <n v="5060"/>
  </r>
  <r>
    <x v="23"/>
    <x v="2"/>
    <x v="1"/>
    <n v="11"/>
    <n v="230"/>
    <x v="6"/>
    <x v="8"/>
    <n v="2530"/>
  </r>
  <r>
    <x v="23"/>
    <x v="1"/>
    <x v="2"/>
    <n v="11"/>
    <n v="40"/>
    <x v="11"/>
    <x v="9"/>
    <n v="440"/>
  </r>
  <r>
    <x v="23"/>
    <x v="1"/>
    <x v="3"/>
    <n v="9"/>
    <n v="40"/>
    <x v="9"/>
    <x v="6"/>
    <n v="360"/>
  </r>
  <r>
    <x v="24"/>
    <x v="1"/>
    <x v="3"/>
    <n v="13"/>
    <n v="40"/>
    <x v="7"/>
    <x v="7"/>
    <n v="520"/>
  </r>
  <r>
    <x v="24"/>
    <x v="1"/>
    <x v="1"/>
    <n v="4"/>
    <n v="40"/>
    <x v="11"/>
    <x v="8"/>
    <n v="160"/>
  </r>
  <r>
    <x v="24"/>
    <x v="4"/>
    <x v="0"/>
    <n v="22"/>
    <n v="150"/>
    <x v="1"/>
    <x v="9"/>
    <n v="3300"/>
  </r>
  <r>
    <x v="24"/>
    <x v="1"/>
    <x v="4"/>
    <n v="21"/>
    <n v="40"/>
    <x v="0"/>
    <x v="6"/>
    <n v="840"/>
  </r>
  <r>
    <x v="24"/>
    <x v="3"/>
    <x v="0"/>
    <n v="16"/>
    <n v="16"/>
    <x v="3"/>
    <x v="7"/>
    <n v="256"/>
  </r>
  <r>
    <x v="24"/>
    <x v="0"/>
    <x v="3"/>
    <n v="16"/>
    <n v="80"/>
    <x v="8"/>
    <x v="8"/>
    <n v="1280"/>
  </r>
  <r>
    <x v="24"/>
    <x v="0"/>
    <x v="1"/>
    <n v="15"/>
    <n v="80"/>
    <x v="11"/>
    <x v="9"/>
    <n v="1200"/>
  </r>
  <r>
    <x v="24"/>
    <x v="4"/>
    <x v="0"/>
    <n v="20"/>
    <n v="150"/>
    <x v="3"/>
    <x v="6"/>
    <n v="3000"/>
  </r>
  <r>
    <x v="24"/>
    <x v="1"/>
    <x v="3"/>
    <n v="13"/>
    <n v="40"/>
    <x v="9"/>
    <x v="7"/>
    <n v="520"/>
  </r>
  <r>
    <x v="24"/>
    <x v="3"/>
    <x v="4"/>
    <n v="3"/>
    <n v="16"/>
    <x v="9"/>
    <x v="8"/>
    <n v="48"/>
  </r>
  <r>
    <x v="24"/>
    <x v="3"/>
    <x v="2"/>
    <n v="11"/>
    <n v="16"/>
    <x v="10"/>
    <x v="9"/>
    <n v="176"/>
  </r>
  <r>
    <x v="25"/>
    <x v="1"/>
    <x v="4"/>
    <n v="16"/>
    <n v="40"/>
    <x v="7"/>
    <x v="6"/>
    <n v="640"/>
  </r>
  <r>
    <x v="25"/>
    <x v="1"/>
    <x v="2"/>
    <n v="4"/>
    <n v="40"/>
    <x v="9"/>
    <x v="7"/>
    <n v="160"/>
  </r>
  <r>
    <x v="25"/>
    <x v="1"/>
    <x v="2"/>
    <n v="20"/>
    <n v="40"/>
    <x v="0"/>
    <x v="8"/>
    <n v="800"/>
  </r>
  <r>
    <x v="25"/>
    <x v="1"/>
    <x v="2"/>
    <n v="4"/>
    <n v="40"/>
    <x v="6"/>
    <x v="9"/>
    <n v="160"/>
  </r>
  <r>
    <x v="25"/>
    <x v="0"/>
    <x v="1"/>
    <n v="14"/>
    <n v="80"/>
    <x v="9"/>
    <x v="6"/>
    <n v="1120"/>
  </r>
  <r>
    <x v="25"/>
    <x v="4"/>
    <x v="1"/>
    <n v="15"/>
    <n v="150"/>
    <x v="4"/>
    <x v="7"/>
    <n v="2250"/>
  </r>
  <r>
    <x v="25"/>
    <x v="0"/>
    <x v="2"/>
    <n v="14"/>
    <n v="80"/>
    <x v="6"/>
    <x v="8"/>
    <n v="1120"/>
  </r>
  <r>
    <x v="25"/>
    <x v="4"/>
    <x v="0"/>
    <n v="20"/>
    <n v="150"/>
    <x v="10"/>
    <x v="9"/>
    <n v="3000"/>
  </r>
  <r>
    <x v="25"/>
    <x v="0"/>
    <x v="4"/>
    <n v="22"/>
    <n v="80"/>
    <x v="6"/>
    <x v="6"/>
    <n v="1760"/>
  </r>
  <r>
    <x v="25"/>
    <x v="2"/>
    <x v="4"/>
    <n v="20"/>
    <n v="230"/>
    <x v="7"/>
    <x v="7"/>
    <n v="4600"/>
  </r>
  <r>
    <x v="25"/>
    <x v="2"/>
    <x v="2"/>
    <n v="12"/>
    <n v="230"/>
    <x v="3"/>
    <x v="8"/>
    <n v="2760"/>
  </r>
  <r>
    <x v="26"/>
    <x v="0"/>
    <x v="0"/>
    <n v="21"/>
    <n v="80"/>
    <x v="10"/>
    <x v="9"/>
    <n v="1680"/>
  </r>
  <r>
    <x v="26"/>
    <x v="1"/>
    <x v="1"/>
    <n v="15"/>
    <n v="40"/>
    <x v="10"/>
    <x v="6"/>
    <n v="600"/>
  </r>
  <r>
    <x v="26"/>
    <x v="0"/>
    <x v="3"/>
    <n v="16"/>
    <n v="80"/>
    <x v="6"/>
    <x v="7"/>
    <n v="1280"/>
  </r>
  <r>
    <x v="26"/>
    <x v="2"/>
    <x v="4"/>
    <n v="17"/>
    <n v="230"/>
    <x v="2"/>
    <x v="8"/>
    <n v="3910"/>
  </r>
  <r>
    <x v="26"/>
    <x v="2"/>
    <x v="4"/>
    <n v="5"/>
    <n v="230"/>
    <x v="11"/>
    <x v="9"/>
    <n v="1150"/>
  </r>
  <r>
    <x v="26"/>
    <x v="3"/>
    <x v="0"/>
    <n v="20"/>
    <n v="16"/>
    <x v="0"/>
    <x v="6"/>
    <n v="320"/>
  </r>
  <r>
    <x v="26"/>
    <x v="2"/>
    <x v="0"/>
    <n v="5"/>
    <n v="230"/>
    <x v="6"/>
    <x v="7"/>
    <n v="1150"/>
  </r>
  <r>
    <x v="26"/>
    <x v="1"/>
    <x v="1"/>
    <n v="8"/>
    <n v="40"/>
    <x v="7"/>
    <x v="8"/>
    <n v="320"/>
  </r>
  <r>
    <x v="26"/>
    <x v="3"/>
    <x v="0"/>
    <n v="7"/>
    <n v="16"/>
    <x v="4"/>
    <x v="9"/>
    <n v="112"/>
  </r>
  <r>
    <x v="26"/>
    <x v="4"/>
    <x v="3"/>
    <n v="15"/>
    <n v="150"/>
    <x v="5"/>
    <x v="6"/>
    <n v="2250"/>
  </r>
  <r>
    <x v="26"/>
    <x v="2"/>
    <x v="4"/>
    <n v="20"/>
    <n v="230"/>
    <x v="2"/>
    <x v="7"/>
    <n v="4600"/>
  </r>
  <r>
    <x v="26"/>
    <x v="3"/>
    <x v="1"/>
    <n v="4"/>
    <n v="16"/>
    <x v="7"/>
    <x v="8"/>
    <n v="64"/>
  </r>
  <r>
    <x v="26"/>
    <x v="1"/>
    <x v="3"/>
    <n v="11"/>
    <n v="40"/>
    <x v="7"/>
    <x v="9"/>
    <n v="440"/>
  </r>
  <r>
    <x v="26"/>
    <x v="4"/>
    <x v="2"/>
    <n v="15"/>
    <n v="150"/>
    <x v="1"/>
    <x v="6"/>
    <n v="2250"/>
  </r>
  <r>
    <x v="26"/>
    <x v="2"/>
    <x v="2"/>
    <n v="5"/>
    <n v="230"/>
    <x v="0"/>
    <x v="7"/>
    <n v="1150"/>
  </r>
  <r>
    <x v="26"/>
    <x v="2"/>
    <x v="2"/>
    <n v="14"/>
    <n v="230"/>
    <x v="3"/>
    <x v="8"/>
    <n v="3220"/>
  </r>
  <r>
    <x v="26"/>
    <x v="1"/>
    <x v="4"/>
    <n v="23"/>
    <n v="40"/>
    <x v="1"/>
    <x v="9"/>
    <n v="920"/>
  </r>
  <r>
    <x v="26"/>
    <x v="0"/>
    <x v="3"/>
    <n v="22"/>
    <n v="80"/>
    <x v="3"/>
    <x v="6"/>
    <n v="1760"/>
  </r>
  <r>
    <x v="27"/>
    <x v="2"/>
    <x v="2"/>
    <n v="20"/>
    <n v="230"/>
    <x v="9"/>
    <x v="7"/>
    <n v="4600"/>
  </r>
  <r>
    <x v="27"/>
    <x v="2"/>
    <x v="1"/>
    <n v="15"/>
    <n v="230"/>
    <x v="7"/>
    <x v="8"/>
    <n v="3450"/>
  </r>
  <r>
    <x v="27"/>
    <x v="4"/>
    <x v="2"/>
    <n v="18"/>
    <n v="150"/>
    <x v="9"/>
    <x v="9"/>
    <n v="2700"/>
  </r>
  <r>
    <x v="27"/>
    <x v="2"/>
    <x v="0"/>
    <n v="3"/>
    <n v="230"/>
    <x v="2"/>
    <x v="6"/>
    <n v="690"/>
  </r>
  <r>
    <x v="27"/>
    <x v="4"/>
    <x v="4"/>
    <n v="11"/>
    <n v="150"/>
    <x v="7"/>
    <x v="7"/>
    <n v="1650"/>
  </r>
  <r>
    <x v="27"/>
    <x v="2"/>
    <x v="0"/>
    <n v="11"/>
    <n v="230"/>
    <x v="4"/>
    <x v="8"/>
    <n v="2530"/>
  </r>
  <r>
    <x v="27"/>
    <x v="2"/>
    <x v="4"/>
    <n v="13"/>
    <n v="230"/>
    <x v="9"/>
    <x v="9"/>
    <n v="2990"/>
  </r>
  <r>
    <x v="28"/>
    <x v="0"/>
    <x v="3"/>
    <n v="11"/>
    <n v="80"/>
    <x v="0"/>
    <x v="6"/>
    <n v="880"/>
  </r>
  <r>
    <x v="28"/>
    <x v="0"/>
    <x v="4"/>
    <n v="17"/>
    <n v="80"/>
    <x v="8"/>
    <x v="7"/>
    <n v="1360"/>
  </r>
  <r>
    <x v="28"/>
    <x v="4"/>
    <x v="4"/>
    <n v="15"/>
    <n v="150"/>
    <x v="8"/>
    <x v="8"/>
    <n v="2250"/>
  </r>
  <r>
    <x v="28"/>
    <x v="3"/>
    <x v="4"/>
    <n v="14"/>
    <n v="16"/>
    <x v="9"/>
    <x v="9"/>
    <n v="224"/>
  </r>
  <r>
    <x v="28"/>
    <x v="3"/>
    <x v="1"/>
    <n v="4"/>
    <n v="16"/>
    <x v="8"/>
    <x v="6"/>
    <n v="64"/>
  </r>
  <r>
    <x v="28"/>
    <x v="4"/>
    <x v="4"/>
    <n v="23"/>
    <n v="150"/>
    <x v="5"/>
    <x v="7"/>
    <n v="3450"/>
  </r>
  <r>
    <x v="28"/>
    <x v="0"/>
    <x v="2"/>
    <n v="10"/>
    <n v="80"/>
    <x v="2"/>
    <x v="8"/>
    <n v="800"/>
  </r>
  <r>
    <x v="28"/>
    <x v="2"/>
    <x v="2"/>
    <n v="7"/>
    <n v="230"/>
    <x v="0"/>
    <x v="9"/>
    <n v="1610"/>
  </r>
  <r>
    <x v="28"/>
    <x v="2"/>
    <x v="0"/>
    <n v="16"/>
    <n v="230"/>
    <x v="8"/>
    <x v="6"/>
    <n v="3680"/>
  </r>
  <r>
    <x v="28"/>
    <x v="3"/>
    <x v="4"/>
    <n v="17"/>
    <n v="16"/>
    <x v="5"/>
    <x v="7"/>
    <n v="272"/>
  </r>
  <r>
    <x v="29"/>
    <x v="0"/>
    <x v="4"/>
    <n v="6"/>
    <n v="80"/>
    <x v="7"/>
    <x v="8"/>
    <n v="480"/>
  </r>
  <r>
    <x v="29"/>
    <x v="4"/>
    <x v="2"/>
    <n v="22"/>
    <n v="150"/>
    <x v="10"/>
    <x v="9"/>
    <n v="3300"/>
  </r>
  <r>
    <x v="29"/>
    <x v="1"/>
    <x v="4"/>
    <n v="20"/>
    <n v="40"/>
    <x v="3"/>
    <x v="6"/>
    <n v="800"/>
  </r>
  <r>
    <x v="29"/>
    <x v="4"/>
    <x v="1"/>
    <n v="16"/>
    <n v="150"/>
    <x v="5"/>
    <x v="7"/>
    <n v="2400"/>
  </r>
  <r>
    <x v="29"/>
    <x v="0"/>
    <x v="1"/>
    <n v="5"/>
    <n v="80"/>
    <x v="8"/>
    <x v="8"/>
    <n v="400"/>
  </r>
  <r>
    <x v="29"/>
    <x v="4"/>
    <x v="3"/>
    <n v="6"/>
    <n v="150"/>
    <x v="3"/>
    <x v="9"/>
    <n v="900"/>
  </r>
  <r>
    <x v="30"/>
    <x v="0"/>
    <x v="1"/>
    <n v="9"/>
    <n v="80"/>
    <x v="3"/>
    <x v="6"/>
    <n v="720"/>
  </r>
  <r>
    <x v="30"/>
    <x v="0"/>
    <x v="0"/>
    <n v="8"/>
    <n v="80"/>
    <x v="5"/>
    <x v="7"/>
    <n v="640"/>
  </r>
  <r>
    <x v="30"/>
    <x v="2"/>
    <x v="3"/>
    <n v="8"/>
    <n v="230"/>
    <x v="0"/>
    <x v="8"/>
    <n v="1840"/>
  </r>
  <r>
    <x v="30"/>
    <x v="3"/>
    <x v="4"/>
    <n v="12"/>
    <n v="16"/>
    <x v="10"/>
    <x v="9"/>
    <n v="192"/>
  </r>
  <r>
    <x v="30"/>
    <x v="3"/>
    <x v="3"/>
    <n v="18"/>
    <n v="16"/>
    <x v="10"/>
    <x v="6"/>
    <n v="288"/>
  </r>
  <r>
    <x v="0"/>
    <x v="3"/>
    <x v="3"/>
    <n v="10"/>
    <n v="16"/>
    <x v="0"/>
    <x v="7"/>
    <n v="160"/>
  </r>
  <r>
    <x v="0"/>
    <x v="3"/>
    <x v="3"/>
    <n v="14"/>
    <n v="16"/>
    <x v="11"/>
    <x v="8"/>
    <n v="224"/>
  </r>
  <r>
    <x v="0"/>
    <x v="1"/>
    <x v="2"/>
    <n v="6"/>
    <n v="40"/>
    <x v="9"/>
    <x v="9"/>
    <n v="240"/>
  </r>
  <r>
    <x v="0"/>
    <x v="1"/>
    <x v="3"/>
    <n v="13"/>
    <n v="40"/>
    <x v="7"/>
    <x v="6"/>
    <n v="520"/>
  </r>
  <r>
    <x v="0"/>
    <x v="3"/>
    <x v="3"/>
    <n v="10"/>
    <n v="16"/>
    <x v="10"/>
    <x v="7"/>
    <n v="160"/>
  </r>
  <r>
    <x v="0"/>
    <x v="0"/>
    <x v="1"/>
    <n v="14"/>
    <n v="80"/>
    <x v="2"/>
    <x v="8"/>
    <n v="1120"/>
  </r>
  <r>
    <x v="0"/>
    <x v="1"/>
    <x v="1"/>
    <n v="4"/>
    <n v="40"/>
    <x v="9"/>
    <x v="9"/>
    <n v="160"/>
  </r>
  <r>
    <x v="0"/>
    <x v="1"/>
    <x v="2"/>
    <n v="11"/>
    <n v="40"/>
    <x v="1"/>
    <x v="6"/>
    <n v="440"/>
  </r>
  <r>
    <x v="0"/>
    <x v="3"/>
    <x v="2"/>
    <n v="14"/>
    <n v="16"/>
    <x v="0"/>
    <x v="7"/>
    <n v="224"/>
  </r>
  <r>
    <x v="0"/>
    <x v="4"/>
    <x v="0"/>
    <n v="20"/>
    <n v="150"/>
    <x v="10"/>
    <x v="8"/>
    <n v="3000"/>
  </r>
  <r>
    <x v="0"/>
    <x v="1"/>
    <x v="3"/>
    <n v="9"/>
    <n v="40"/>
    <x v="9"/>
    <x v="9"/>
    <n v="360"/>
  </r>
  <r>
    <x v="0"/>
    <x v="4"/>
    <x v="2"/>
    <n v="18"/>
    <n v="150"/>
    <x v="9"/>
    <x v="6"/>
    <n v="2700"/>
  </r>
  <r>
    <x v="0"/>
    <x v="2"/>
    <x v="4"/>
    <n v="17"/>
    <n v="230"/>
    <x v="2"/>
    <x v="7"/>
    <n v="3910"/>
  </r>
  <r>
    <x v="1"/>
    <x v="1"/>
    <x v="0"/>
    <n v="20"/>
    <n v="40"/>
    <x v="10"/>
    <x v="8"/>
    <n v="800"/>
  </r>
  <r>
    <x v="1"/>
    <x v="1"/>
    <x v="0"/>
    <n v="23"/>
    <n v="40"/>
    <x v="3"/>
    <x v="9"/>
    <n v="920"/>
  </r>
  <r>
    <x v="1"/>
    <x v="2"/>
    <x v="4"/>
    <n v="21"/>
    <n v="230"/>
    <x v="1"/>
    <x v="6"/>
    <n v="4830"/>
  </r>
  <r>
    <x v="1"/>
    <x v="0"/>
    <x v="2"/>
    <n v="6"/>
    <n v="80"/>
    <x v="7"/>
    <x v="7"/>
    <n v="480"/>
  </r>
  <r>
    <x v="1"/>
    <x v="3"/>
    <x v="0"/>
    <n v="20"/>
    <n v="16"/>
    <x v="0"/>
    <x v="8"/>
    <n v="320"/>
  </r>
  <r>
    <x v="1"/>
    <x v="1"/>
    <x v="1"/>
    <n v="8"/>
    <n v="40"/>
    <x v="7"/>
    <x v="9"/>
    <n v="320"/>
  </r>
  <r>
    <x v="1"/>
    <x v="2"/>
    <x v="1"/>
    <n v="15"/>
    <n v="230"/>
    <x v="7"/>
    <x v="6"/>
    <n v="3450"/>
  </r>
  <r>
    <x v="2"/>
    <x v="0"/>
    <x v="3"/>
    <n v="21"/>
    <n v="80"/>
    <x v="4"/>
    <x v="7"/>
    <n v="1680"/>
  </r>
  <r>
    <x v="2"/>
    <x v="0"/>
    <x v="3"/>
    <n v="19"/>
    <n v="80"/>
    <x v="4"/>
    <x v="8"/>
    <n v="1520"/>
  </r>
  <r>
    <x v="2"/>
    <x v="3"/>
    <x v="0"/>
    <n v="7"/>
    <n v="16"/>
    <x v="5"/>
    <x v="9"/>
    <n v="112"/>
  </r>
  <r>
    <x v="2"/>
    <x v="1"/>
    <x v="4"/>
    <n v="11"/>
    <n v="40"/>
    <x v="1"/>
    <x v="6"/>
    <n v="440"/>
  </r>
  <r>
    <x v="2"/>
    <x v="2"/>
    <x v="3"/>
    <n v="8"/>
    <n v="230"/>
    <x v="1"/>
    <x v="7"/>
    <n v="1840"/>
  </r>
  <r>
    <x v="2"/>
    <x v="0"/>
    <x v="0"/>
    <n v="18"/>
    <n v="80"/>
    <x v="4"/>
    <x v="8"/>
    <n v="1440"/>
  </r>
  <r>
    <x v="2"/>
    <x v="1"/>
    <x v="0"/>
    <n v="7"/>
    <n v="40"/>
    <x v="6"/>
    <x v="9"/>
    <n v="280"/>
  </r>
  <r>
    <x v="3"/>
    <x v="3"/>
    <x v="0"/>
    <n v="16"/>
    <n v="16"/>
    <x v="3"/>
    <x v="6"/>
    <n v="256"/>
  </r>
  <r>
    <x v="3"/>
    <x v="0"/>
    <x v="0"/>
    <n v="8"/>
    <n v="80"/>
    <x v="5"/>
    <x v="7"/>
    <n v="640"/>
  </r>
  <r>
    <x v="3"/>
    <x v="2"/>
    <x v="4"/>
    <n v="22"/>
    <n v="230"/>
    <x v="6"/>
    <x v="8"/>
    <n v="5060"/>
  </r>
  <r>
    <x v="3"/>
    <x v="2"/>
    <x v="4"/>
    <n v="3"/>
    <n v="230"/>
    <x v="6"/>
    <x v="9"/>
    <n v="690"/>
  </r>
  <r>
    <x v="3"/>
    <x v="2"/>
    <x v="4"/>
    <n v="20"/>
    <n v="230"/>
    <x v="2"/>
    <x v="6"/>
    <n v="4600"/>
  </r>
  <r>
    <x v="3"/>
    <x v="3"/>
    <x v="2"/>
    <n v="12"/>
    <n v="16"/>
    <x v="3"/>
    <x v="7"/>
    <n v="192"/>
  </r>
  <r>
    <x v="3"/>
    <x v="1"/>
    <x v="4"/>
    <n v="20"/>
    <n v="40"/>
    <x v="8"/>
    <x v="8"/>
    <n v="800"/>
  </r>
  <r>
    <x v="3"/>
    <x v="2"/>
    <x v="0"/>
    <n v="3"/>
    <n v="230"/>
    <x v="9"/>
    <x v="9"/>
    <n v="690"/>
  </r>
  <r>
    <x v="3"/>
    <x v="0"/>
    <x v="3"/>
    <n v="16"/>
    <n v="80"/>
    <x v="8"/>
    <x v="6"/>
    <n v="1280"/>
  </r>
  <r>
    <x v="4"/>
    <x v="1"/>
    <x v="4"/>
    <n v="3"/>
    <n v="40"/>
    <x v="3"/>
    <x v="7"/>
    <n v="120"/>
  </r>
  <r>
    <x v="4"/>
    <x v="2"/>
    <x v="2"/>
    <n v="12"/>
    <n v="230"/>
    <x v="3"/>
    <x v="8"/>
    <n v="2760"/>
  </r>
  <r>
    <x v="4"/>
    <x v="1"/>
    <x v="3"/>
    <n v="22"/>
    <n v="40"/>
    <x v="0"/>
    <x v="9"/>
    <n v="880"/>
  </r>
  <r>
    <x v="4"/>
    <x v="1"/>
    <x v="1"/>
    <n v="19"/>
    <n v="40"/>
    <x v="6"/>
    <x v="6"/>
    <n v="760"/>
  </r>
  <r>
    <x v="4"/>
    <x v="0"/>
    <x v="1"/>
    <n v="21"/>
    <n v="80"/>
    <x v="10"/>
    <x v="7"/>
    <n v="1680"/>
  </r>
  <r>
    <x v="4"/>
    <x v="0"/>
    <x v="1"/>
    <n v="2"/>
    <n v="80"/>
    <x v="10"/>
    <x v="8"/>
    <n v="160"/>
  </r>
  <r>
    <x v="4"/>
    <x v="4"/>
    <x v="1"/>
    <n v="15"/>
    <n v="150"/>
    <x v="4"/>
    <x v="9"/>
    <n v="2250"/>
  </r>
  <r>
    <x v="5"/>
    <x v="1"/>
    <x v="1"/>
    <n v="14"/>
    <n v="40"/>
    <x v="9"/>
    <x v="6"/>
    <n v="560"/>
  </r>
  <r>
    <x v="5"/>
    <x v="0"/>
    <x v="3"/>
    <n v="7"/>
    <n v="80"/>
    <x v="8"/>
    <x v="7"/>
    <n v="560"/>
  </r>
  <r>
    <x v="5"/>
    <x v="0"/>
    <x v="2"/>
    <n v="7"/>
    <n v="80"/>
    <x v="1"/>
    <x v="8"/>
    <n v="560"/>
  </r>
  <r>
    <x v="5"/>
    <x v="4"/>
    <x v="1"/>
    <n v="10"/>
    <n v="150"/>
    <x v="0"/>
    <x v="9"/>
    <n v="1500"/>
  </r>
  <r>
    <x v="5"/>
    <x v="0"/>
    <x v="2"/>
    <n v="10"/>
    <n v="80"/>
    <x v="5"/>
    <x v="6"/>
    <n v="800"/>
  </r>
  <r>
    <x v="5"/>
    <x v="0"/>
    <x v="3"/>
    <n v="15"/>
    <n v="80"/>
    <x v="5"/>
    <x v="7"/>
    <n v="1200"/>
  </r>
  <r>
    <x v="5"/>
    <x v="2"/>
    <x v="3"/>
    <n v="18"/>
    <n v="230"/>
    <x v="0"/>
    <x v="8"/>
    <n v="4140"/>
  </r>
  <r>
    <x v="5"/>
    <x v="0"/>
    <x v="0"/>
    <n v="8"/>
    <n v="80"/>
    <x v="7"/>
    <x v="9"/>
    <n v="640"/>
  </r>
  <r>
    <x v="5"/>
    <x v="3"/>
    <x v="2"/>
    <n v="6"/>
    <n v="16"/>
    <x v="0"/>
    <x v="6"/>
    <n v="96"/>
  </r>
  <r>
    <x v="5"/>
    <x v="2"/>
    <x v="1"/>
    <n v="9"/>
    <n v="230"/>
    <x v="3"/>
    <x v="7"/>
    <n v="2070"/>
  </r>
  <r>
    <x v="6"/>
    <x v="1"/>
    <x v="3"/>
    <n v="15"/>
    <n v="40"/>
    <x v="3"/>
    <x v="8"/>
    <n v="600"/>
  </r>
  <r>
    <x v="6"/>
    <x v="1"/>
    <x v="1"/>
    <n v="15"/>
    <n v="40"/>
    <x v="10"/>
    <x v="9"/>
    <n v="600"/>
  </r>
  <r>
    <x v="6"/>
    <x v="3"/>
    <x v="4"/>
    <n v="11"/>
    <n v="16"/>
    <x v="11"/>
    <x v="6"/>
    <n v="176"/>
  </r>
  <r>
    <x v="6"/>
    <x v="3"/>
    <x v="0"/>
    <n v="12"/>
    <n v="16"/>
    <x v="2"/>
    <x v="2"/>
    <n v="192"/>
  </r>
  <r>
    <x v="6"/>
    <x v="3"/>
    <x v="3"/>
    <n v="18"/>
    <n v="16"/>
    <x v="10"/>
    <x v="8"/>
    <n v="288"/>
  </r>
  <r>
    <x v="6"/>
    <x v="1"/>
    <x v="2"/>
    <n v="20"/>
    <n v="40"/>
    <x v="0"/>
    <x v="2"/>
    <n v="800"/>
  </r>
  <r>
    <x v="6"/>
    <x v="4"/>
    <x v="4"/>
    <n v="7"/>
    <n v="150"/>
    <x v="3"/>
    <x v="8"/>
    <n v="1050"/>
  </r>
  <r>
    <x v="6"/>
    <x v="1"/>
    <x v="3"/>
    <n v="23"/>
    <n v="40"/>
    <x v="9"/>
    <x v="2"/>
    <n v="920"/>
  </r>
  <r>
    <x v="6"/>
    <x v="0"/>
    <x v="0"/>
    <n v="7"/>
    <n v="80"/>
    <x v="4"/>
    <x v="8"/>
    <n v="560"/>
  </r>
  <r>
    <x v="6"/>
    <x v="4"/>
    <x v="1"/>
    <n v="16"/>
    <n v="150"/>
    <x v="1"/>
    <x v="2"/>
    <n v="2400"/>
  </r>
  <r>
    <x v="6"/>
    <x v="2"/>
    <x v="1"/>
    <n v="6"/>
    <n v="230"/>
    <x v="6"/>
    <x v="8"/>
    <n v="1380"/>
  </r>
  <r>
    <x v="7"/>
    <x v="1"/>
    <x v="4"/>
    <n v="7"/>
    <n v="40"/>
    <x v="11"/>
    <x v="2"/>
    <n v="280"/>
  </r>
  <r>
    <x v="7"/>
    <x v="0"/>
    <x v="2"/>
    <n v="23"/>
    <n v="80"/>
    <x v="1"/>
    <x v="8"/>
    <n v="1840"/>
  </r>
  <r>
    <x v="7"/>
    <x v="0"/>
    <x v="3"/>
    <n v="16"/>
    <n v="80"/>
    <x v="6"/>
    <x v="2"/>
    <n v="1280"/>
  </r>
  <r>
    <x v="7"/>
    <x v="0"/>
    <x v="0"/>
    <n v="16"/>
    <n v="80"/>
    <x v="3"/>
    <x v="8"/>
    <n v="1280"/>
  </r>
  <r>
    <x v="7"/>
    <x v="0"/>
    <x v="4"/>
    <n v="22"/>
    <n v="80"/>
    <x v="7"/>
    <x v="2"/>
    <n v="1760"/>
  </r>
  <r>
    <x v="7"/>
    <x v="3"/>
    <x v="0"/>
    <n v="18"/>
    <n v="16"/>
    <x v="1"/>
    <x v="8"/>
    <n v="288"/>
  </r>
  <r>
    <x v="7"/>
    <x v="2"/>
    <x v="4"/>
    <n v="5"/>
    <n v="230"/>
    <x v="11"/>
    <x v="2"/>
    <n v="1150"/>
  </r>
  <r>
    <x v="7"/>
    <x v="4"/>
    <x v="4"/>
    <n v="7"/>
    <n v="150"/>
    <x v="4"/>
    <x v="8"/>
    <n v="1050"/>
  </r>
  <r>
    <x v="7"/>
    <x v="1"/>
    <x v="2"/>
    <n v="2"/>
    <n v="40"/>
    <x v="3"/>
    <x v="2"/>
    <n v="80"/>
  </r>
  <r>
    <x v="7"/>
    <x v="1"/>
    <x v="3"/>
    <n v="11"/>
    <n v="40"/>
    <x v="9"/>
    <x v="8"/>
    <n v="440"/>
  </r>
  <r>
    <x v="7"/>
    <x v="0"/>
    <x v="3"/>
    <n v="7"/>
    <n v="80"/>
    <x v="4"/>
    <x v="2"/>
    <n v="560"/>
  </r>
  <r>
    <x v="8"/>
    <x v="1"/>
    <x v="2"/>
    <n v="4"/>
    <n v="40"/>
    <x v="2"/>
    <x v="8"/>
    <n v="160"/>
  </r>
  <r>
    <x v="8"/>
    <x v="1"/>
    <x v="2"/>
    <n v="2"/>
    <n v="40"/>
    <x v="4"/>
    <x v="2"/>
    <n v="80"/>
  </r>
  <r>
    <x v="8"/>
    <x v="2"/>
    <x v="3"/>
    <n v="23"/>
    <n v="230"/>
    <x v="9"/>
    <x v="8"/>
    <n v="5290"/>
  </r>
  <r>
    <x v="8"/>
    <x v="0"/>
    <x v="4"/>
    <n v="21"/>
    <n v="80"/>
    <x v="7"/>
    <x v="2"/>
    <n v="1680"/>
  </r>
  <r>
    <x v="8"/>
    <x v="0"/>
    <x v="4"/>
    <n v="9"/>
    <n v="80"/>
    <x v="9"/>
    <x v="8"/>
    <n v="720"/>
  </r>
  <r>
    <x v="8"/>
    <x v="0"/>
    <x v="4"/>
    <n v="22"/>
    <n v="80"/>
    <x v="2"/>
    <x v="2"/>
    <n v="1760"/>
  </r>
  <r>
    <x v="9"/>
    <x v="2"/>
    <x v="2"/>
    <n v="15"/>
    <n v="230"/>
    <x v="2"/>
    <x v="8"/>
    <n v="3450"/>
  </r>
  <r>
    <x v="9"/>
    <x v="1"/>
    <x v="1"/>
    <n v="7"/>
    <n v="40"/>
    <x v="0"/>
    <x v="2"/>
    <n v="280"/>
  </r>
  <r>
    <x v="9"/>
    <x v="4"/>
    <x v="4"/>
    <n v="17"/>
    <n v="150"/>
    <x v="4"/>
    <x v="8"/>
    <n v="2550"/>
  </r>
  <r>
    <x v="9"/>
    <x v="4"/>
    <x v="1"/>
    <n v="22"/>
    <n v="150"/>
    <x v="4"/>
    <x v="2"/>
    <n v="3300"/>
  </r>
  <r>
    <x v="9"/>
    <x v="2"/>
    <x v="2"/>
    <n v="10"/>
    <n v="230"/>
    <x v="4"/>
    <x v="8"/>
    <n v="2300"/>
  </r>
  <r>
    <x v="9"/>
    <x v="1"/>
    <x v="4"/>
    <n v="21"/>
    <n v="40"/>
    <x v="0"/>
    <x v="2"/>
    <n v="840"/>
  </r>
  <r>
    <x v="9"/>
    <x v="2"/>
    <x v="2"/>
    <n v="5"/>
    <n v="230"/>
    <x v="6"/>
    <x v="8"/>
    <n v="1150"/>
  </r>
  <r>
    <x v="9"/>
    <x v="2"/>
    <x v="4"/>
    <n v="13"/>
    <n v="230"/>
    <x v="9"/>
    <x v="2"/>
    <n v="2990"/>
  </r>
  <r>
    <x v="9"/>
    <x v="4"/>
    <x v="0"/>
    <n v="23"/>
    <n v="150"/>
    <x v="6"/>
    <x v="8"/>
    <n v="3450"/>
  </r>
  <r>
    <x v="9"/>
    <x v="4"/>
    <x v="0"/>
    <n v="20"/>
    <n v="150"/>
    <x v="3"/>
    <x v="2"/>
    <n v="3000"/>
  </r>
  <r>
    <x v="10"/>
    <x v="2"/>
    <x v="0"/>
    <n v="3"/>
    <n v="230"/>
    <x v="2"/>
    <x v="8"/>
    <n v="690"/>
  </r>
  <r>
    <x v="10"/>
    <x v="4"/>
    <x v="1"/>
    <n v="16"/>
    <n v="150"/>
    <x v="5"/>
    <x v="2"/>
    <n v="2400"/>
  </r>
  <r>
    <x v="10"/>
    <x v="3"/>
    <x v="4"/>
    <n v="14"/>
    <n v="16"/>
    <x v="9"/>
    <x v="8"/>
    <n v="224"/>
  </r>
  <r>
    <x v="10"/>
    <x v="4"/>
    <x v="1"/>
    <n v="16"/>
    <n v="150"/>
    <x v="3"/>
    <x v="2"/>
    <n v="2400"/>
  </r>
  <r>
    <x v="10"/>
    <x v="3"/>
    <x v="4"/>
    <n v="19"/>
    <n v="16"/>
    <x v="4"/>
    <x v="8"/>
    <n v="304"/>
  </r>
  <r>
    <x v="10"/>
    <x v="0"/>
    <x v="4"/>
    <n v="6"/>
    <n v="80"/>
    <x v="7"/>
    <x v="2"/>
    <n v="480"/>
  </r>
  <r>
    <x v="10"/>
    <x v="0"/>
    <x v="4"/>
    <n v="9"/>
    <n v="80"/>
    <x v="8"/>
    <x v="8"/>
    <n v="720"/>
  </r>
  <r>
    <x v="10"/>
    <x v="4"/>
    <x v="1"/>
    <n v="20"/>
    <n v="150"/>
    <x v="7"/>
    <x v="2"/>
    <n v="3000"/>
  </r>
  <r>
    <x v="10"/>
    <x v="0"/>
    <x v="2"/>
    <n v="10"/>
    <n v="80"/>
    <x v="2"/>
    <x v="8"/>
    <n v="800"/>
  </r>
  <r>
    <x v="10"/>
    <x v="3"/>
    <x v="0"/>
    <n v="4"/>
    <n v="16"/>
    <x v="11"/>
    <x v="2"/>
    <n v="64"/>
  </r>
  <r>
    <x v="10"/>
    <x v="1"/>
    <x v="4"/>
    <n v="16"/>
    <n v="40"/>
    <x v="2"/>
    <x v="8"/>
    <n v="640"/>
  </r>
  <r>
    <x v="11"/>
    <x v="0"/>
    <x v="1"/>
    <n v="5"/>
    <n v="80"/>
    <x v="10"/>
    <x v="2"/>
    <n v="400"/>
  </r>
  <r>
    <x v="11"/>
    <x v="3"/>
    <x v="2"/>
    <n v="11"/>
    <n v="16"/>
    <x v="10"/>
    <x v="8"/>
    <n v="176"/>
  </r>
  <r>
    <x v="11"/>
    <x v="4"/>
    <x v="0"/>
    <n v="17"/>
    <n v="150"/>
    <x v="11"/>
    <x v="2"/>
    <n v="2550"/>
  </r>
  <r>
    <x v="11"/>
    <x v="2"/>
    <x v="1"/>
    <n v="19"/>
    <n v="230"/>
    <x v="2"/>
    <x v="8"/>
    <n v="4370"/>
  </r>
  <r>
    <x v="11"/>
    <x v="0"/>
    <x v="0"/>
    <n v="21"/>
    <n v="80"/>
    <x v="10"/>
    <x v="2"/>
    <n v="1680"/>
  </r>
  <r>
    <x v="11"/>
    <x v="2"/>
    <x v="1"/>
    <n v="7"/>
    <n v="230"/>
    <x v="0"/>
    <x v="8"/>
    <n v="1610"/>
  </r>
  <r>
    <x v="11"/>
    <x v="1"/>
    <x v="2"/>
    <n v="2"/>
    <n v="40"/>
    <x v="3"/>
    <x v="2"/>
    <n v="80"/>
  </r>
  <r>
    <x v="11"/>
    <x v="4"/>
    <x v="0"/>
    <n v="7"/>
    <n v="150"/>
    <x v="4"/>
    <x v="8"/>
    <n v="1050"/>
  </r>
  <r>
    <x v="12"/>
    <x v="0"/>
    <x v="2"/>
    <n v="16"/>
    <n v="80"/>
    <x v="10"/>
    <x v="2"/>
    <n v="1280"/>
  </r>
  <r>
    <x v="12"/>
    <x v="1"/>
    <x v="1"/>
    <n v="4"/>
    <n v="40"/>
    <x v="11"/>
    <x v="8"/>
    <n v="160"/>
  </r>
  <r>
    <x v="12"/>
    <x v="3"/>
    <x v="0"/>
    <n v="22"/>
    <n v="16"/>
    <x v="0"/>
    <x v="2"/>
    <n v="352"/>
  </r>
  <r>
    <x v="12"/>
    <x v="1"/>
    <x v="3"/>
    <n v="18"/>
    <n v="40"/>
    <x v="9"/>
    <x v="8"/>
    <n v="720"/>
  </r>
  <r>
    <x v="12"/>
    <x v="0"/>
    <x v="2"/>
    <n v="6"/>
    <n v="80"/>
    <x v="0"/>
    <x v="2"/>
    <n v="480"/>
  </r>
  <r>
    <x v="12"/>
    <x v="2"/>
    <x v="2"/>
    <n v="2"/>
    <n v="230"/>
    <x v="7"/>
    <x v="8"/>
    <n v="460"/>
  </r>
  <r>
    <x v="13"/>
    <x v="4"/>
    <x v="4"/>
    <n v="11"/>
    <n v="150"/>
    <x v="7"/>
    <x v="2"/>
    <n v="1650"/>
  </r>
  <r>
    <x v="13"/>
    <x v="4"/>
    <x v="3"/>
    <n v="15"/>
    <n v="150"/>
    <x v="5"/>
    <x v="8"/>
    <n v="2250"/>
  </r>
  <r>
    <x v="13"/>
    <x v="0"/>
    <x v="0"/>
    <n v="17"/>
    <n v="80"/>
    <x v="7"/>
    <x v="2"/>
    <n v="1360"/>
  </r>
  <r>
    <x v="13"/>
    <x v="4"/>
    <x v="4"/>
    <n v="13"/>
    <n v="150"/>
    <x v="2"/>
    <x v="8"/>
    <n v="1950"/>
  </r>
  <r>
    <x v="13"/>
    <x v="1"/>
    <x v="3"/>
    <n v="7"/>
    <n v="40"/>
    <x v="8"/>
    <x v="2"/>
    <n v="280"/>
  </r>
  <r>
    <x v="13"/>
    <x v="2"/>
    <x v="3"/>
    <n v="3"/>
    <n v="230"/>
    <x v="0"/>
    <x v="8"/>
    <n v="690"/>
  </r>
  <r>
    <x v="13"/>
    <x v="1"/>
    <x v="2"/>
    <n v="12"/>
    <n v="40"/>
    <x v="4"/>
    <x v="2"/>
    <n v="480"/>
  </r>
  <r>
    <x v="13"/>
    <x v="4"/>
    <x v="2"/>
    <n v="11"/>
    <n v="150"/>
    <x v="2"/>
    <x v="8"/>
    <n v="1650"/>
  </r>
  <r>
    <x v="13"/>
    <x v="1"/>
    <x v="1"/>
    <n v="21"/>
    <n v="40"/>
    <x v="3"/>
    <x v="2"/>
    <n v="840"/>
  </r>
  <r>
    <x v="13"/>
    <x v="4"/>
    <x v="0"/>
    <n v="22"/>
    <n v="150"/>
    <x v="8"/>
    <x v="8"/>
    <n v="3300"/>
  </r>
  <r>
    <x v="13"/>
    <x v="1"/>
    <x v="2"/>
    <n v="20"/>
    <n v="40"/>
    <x v="0"/>
    <x v="2"/>
    <n v="800"/>
  </r>
  <r>
    <x v="14"/>
    <x v="3"/>
    <x v="4"/>
    <n v="22"/>
    <n v="16"/>
    <x v="11"/>
    <x v="8"/>
    <n v="352"/>
  </r>
  <r>
    <x v="14"/>
    <x v="1"/>
    <x v="2"/>
    <n v="4"/>
    <n v="40"/>
    <x v="6"/>
    <x v="2"/>
    <n v="160"/>
  </r>
  <r>
    <x v="14"/>
    <x v="2"/>
    <x v="3"/>
    <n v="2"/>
    <n v="230"/>
    <x v="7"/>
    <x v="8"/>
    <n v="460"/>
  </r>
  <r>
    <x v="14"/>
    <x v="1"/>
    <x v="0"/>
    <n v="22"/>
    <n v="40"/>
    <x v="4"/>
    <x v="2"/>
    <n v="880"/>
  </r>
  <r>
    <x v="14"/>
    <x v="1"/>
    <x v="1"/>
    <n v="4"/>
    <n v="40"/>
    <x v="3"/>
    <x v="8"/>
    <n v="160"/>
  </r>
  <r>
    <x v="14"/>
    <x v="3"/>
    <x v="1"/>
    <n v="5"/>
    <n v="16"/>
    <x v="2"/>
    <x v="2"/>
    <n v="80"/>
  </r>
  <r>
    <x v="14"/>
    <x v="0"/>
    <x v="3"/>
    <n v="2"/>
    <n v="80"/>
    <x v="5"/>
    <x v="8"/>
    <n v="160"/>
  </r>
  <r>
    <x v="14"/>
    <x v="3"/>
    <x v="2"/>
    <n v="9"/>
    <n v="16"/>
    <x v="1"/>
    <x v="2"/>
    <n v="144"/>
  </r>
  <r>
    <x v="14"/>
    <x v="2"/>
    <x v="2"/>
    <n v="6"/>
    <n v="230"/>
    <x v="1"/>
    <x v="8"/>
    <n v="1380"/>
  </r>
  <r>
    <x v="14"/>
    <x v="4"/>
    <x v="3"/>
    <n v="22"/>
    <n v="150"/>
    <x v="1"/>
    <x v="2"/>
    <n v="3300"/>
  </r>
  <r>
    <x v="15"/>
    <x v="2"/>
    <x v="3"/>
    <n v="8"/>
    <n v="230"/>
    <x v="0"/>
    <x v="8"/>
    <n v="1840"/>
  </r>
  <r>
    <x v="15"/>
    <x v="4"/>
    <x v="0"/>
    <n v="22"/>
    <n v="150"/>
    <x v="1"/>
    <x v="2"/>
    <n v="3300"/>
  </r>
  <r>
    <x v="15"/>
    <x v="1"/>
    <x v="0"/>
    <n v="5"/>
    <n v="40"/>
    <x v="9"/>
    <x v="8"/>
    <n v="200"/>
  </r>
  <r>
    <x v="15"/>
    <x v="4"/>
    <x v="3"/>
    <n v="20"/>
    <n v="150"/>
    <x v="6"/>
    <x v="2"/>
    <n v="3000"/>
  </r>
  <r>
    <x v="15"/>
    <x v="0"/>
    <x v="3"/>
    <n v="22"/>
    <n v="80"/>
    <x v="3"/>
    <x v="8"/>
    <n v="1760"/>
  </r>
  <r>
    <x v="15"/>
    <x v="3"/>
    <x v="0"/>
    <n v="11"/>
    <n v="16"/>
    <x v="7"/>
    <x v="2"/>
    <n v="176"/>
  </r>
  <r>
    <x v="15"/>
    <x v="3"/>
    <x v="1"/>
    <n v="22"/>
    <n v="16"/>
    <x v="0"/>
    <x v="8"/>
    <n v="352"/>
  </r>
  <r>
    <x v="15"/>
    <x v="1"/>
    <x v="1"/>
    <n v="23"/>
    <n v="40"/>
    <x v="9"/>
    <x v="2"/>
    <n v="920"/>
  </r>
  <r>
    <x v="15"/>
    <x v="0"/>
    <x v="2"/>
    <n v="14"/>
    <n v="80"/>
    <x v="6"/>
    <x v="8"/>
    <n v="1120"/>
  </r>
  <r>
    <x v="15"/>
    <x v="1"/>
    <x v="0"/>
    <n v="18"/>
    <n v="40"/>
    <x v="9"/>
    <x v="2"/>
    <n v="720"/>
  </r>
  <r>
    <x v="16"/>
    <x v="4"/>
    <x v="3"/>
    <n v="7"/>
    <n v="150"/>
    <x v="1"/>
    <x v="1"/>
    <n v="1050"/>
  </r>
  <r>
    <x v="16"/>
    <x v="1"/>
    <x v="3"/>
    <n v="15"/>
    <n v="40"/>
    <x v="3"/>
    <x v="2"/>
    <n v="600"/>
  </r>
  <r>
    <x v="16"/>
    <x v="3"/>
    <x v="0"/>
    <n v="7"/>
    <n v="16"/>
    <x v="4"/>
    <x v="3"/>
    <n v="112"/>
  </r>
  <r>
    <x v="16"/>
    <x v="3"/>
    <x v="3"/>
    <n v="15"/>
    <n v="16"/>
    <x v="11"/>
    <x v="4"/>
    <n v="240"/>
  </r>
  <r>
    <x v="16"/>
    <x v="1"/>
    <x v="0"/>
    <n v="5"/>
    <n v="40"/>
    <x v="7"/>
    <x v="5"/>
    <n v="200"/>
  </r>
  <r>
    <x v="16"/>
    <x v="1"/>
    <x v="4"/>
    <n v="20"/>
    <n v="40"/>
    <x v="3"/>
    <x v="6"/>
    <n v="800"/>
  </r>
  <r>
    <x v="16"/>
    <x v="2"/>
    <x v="3"/>
    <n v="11"/>
    <n v="230"/>
    <x v="11"/>
    <x v="7"/>
    <n v="2530"/>
  </r>
  <r>
    <x v="16"/>
    <x v="3"/>
    <x v="4"/>
    <n v="17"/>
    <n v="16"/>
    <x v="5"/>
    <x v="8"/>
    <n v="272"/>
  </r>
  <r>
    <x v="17"/>
    <x v="3"/>
    <x v="0"/>
    <n v="18"/>
    <n v="16"/>
    <x v="2"/>
    <x v="9"/>
    <n v="288"/>
  </r>
  <r>
    <x v="17"/>
    <x v="2"/>
    <x v="3"/>
    <n v="2"/>
    <n v="230"/>
    <x v="5"/>
    <x v="10"/>
    <n v="460"/>
  </r>
  <r>
    <x v="17"/>
    <x v="3"/>
    <x v="2"/>
    <n v="17"/>
    <n v="16"/>
    <x v="1"/>
    <x v="11"/>
    <n v="272"/>
  </r>
  <r>
    <x v="17"/>
    <x v="0"/>
    <x v="3"/>
    <n v="16"/>
    <n v="80"/>
    <x v="1"/>
    <x v="0"/>
    <n v="1280"/>
  </r>
  <r>
    <x v="17"/>
    <x v="2"/>
    <x v="1"/>
    <n v="14"/>
    <n v="230"/>
    <x v="1"/>
    <x v="1"/>
    <n v="3220"/>
  </r>
  <r>
    <x v="17"/>
    <x v="1"/>
    <x v="2"/>
    <n v="13"/>
    <n v="40"/>
    <x v="4"/>
    <x v="2"/>
    <n v="520"/>
  </r>
  <r>
    <x v="17"/>
    <x v="2"/>
    <x v="1"/>
    <n v="7"/>
    <n v="230"/>
    <x v="5"/>
    <x v="3"/>
    <n v="1610"/>
  </r>
  <r>
    <x v="17"/>
    <x v="1"/>
    <x v="3"/>
    <n v="7"/>
    <n v="40"/>
    <x v="2"/>
    <x v="4"/>
    <n v="280"/>
  </r>
  <r>
    <x v="17"/>
    <x v="2"/>
    <x v="2"/>
    <n v="12"/>
    <n v="230"/>
    <x v="9"/>
    <x v="5"/>
    <n v="2760"/>
  </r>
  <r>
    <x v="17"/>
    <x v="1"/>
    <x v="0"/>
    <n v="19"/>
    <n v="40"/>
    <x v="10"/>
    <x v="1"/>
    <n v="760"/>
  </r>
  <r>
    <x v="18"/>
    <x v="2"/>
    <x v="2"/>
    <n v="20"/>
    <n v="230"/>
    <x v="9"/>
    <x v="2"/>
    <n v="4600"/>
  </r>
  <r>
    <x v="18"/>
    <x v="1"/>
    <x v="4"/>
    <n v="23"/>
    <n v="40"/>
    <x v="10"/>
    <x v="3"/>
    <n v="920"/>
  </r>
  <r>
    <x v="18"/>
    <x v="0"/>
    <x v="4"/>
    <n v="16"/>
    <n v="80"/>
    <x v="1"/>
    <x v="4"/>
    <n v="1280"/>
  </r>
  <r>
    <x v="18"/>
    <x v="4"/>
    <x v="1"/>
    <n v="23"/>
    <n v="150"/>
    <x v="2"/>
    <x v="5"/>
    <n v="3450"/>
  </r>
  <r>
    <x v="18"/>
    <x v="3"/>
    <x v="1"/>
    <n v="4"/>
    <n v="16"/>
    <x v="8"/>
    <x v="6"/>
    <n v="64"/>
  </r>
  <r>
    <x v="18"/>
    <x v="2"/>
    <x v="0"/>
    <n v="8"/>
    <n v="230"/>
    <x v="3"/>
    <x v="7"/>
    <n v="1840"/>
  </r>
  <r>
    <x v="18"/>
    <x v="0"/>
    <x v="1"/>
    <n v="17"/>
    <n v="80"/>
    <x v="3"/>
    <x v="8"/>
    <n v="1360"/>
  </r>
  <r>
    <x v="18"/>
    <x v="0"/>
    <x v="3"/>
    <n v="10"/>
    <n v="80"/>
    <x v="6"/>
    <x v="9"/>
    <n v="800"/>
  </r>
  <r>
    <x v="18"/>
    <x v="3"/>
    <x v="0"/>
    <n v="20"/>
    <n v="16"/>
    <x v="2"/>
    <x v="10"/>
    <n v="320"/>
  </r>
  <r>
    <x v="19"/>
    <x v="2"/>
    <x v="3"/>
    <n v="19"/>
    <n v="230"/>
    <x v="9"/>
    <x v="11"/>
    <n v="4370"/>
  </r>
  <r>
    <x v="19"/>
    <x v="1"/>
    <x v="2"/>
    <n v="18"/>
    <n v="40"/>
    <x v="3"/>
    <x v="0"/>
    <n v="720"/>
  </r>
  <r>
    <x v="19"/>
    <x v="0"/>
    <x v="1"/>
    <n v="16"/>
    <n v="80"/>
    <x v="10"/>
    <x v="1"/>
    <n v="1280"/>
  </r>
  <r>
    <x v="19"/>
    <x v="0"/>
    <x v="3"/>
    <n v="8"/>
    <n v="80"/>
    <x v="9"/>
    <x v="2"/>
    <n v="640"/>
  </r>
  <r>
    <x v="19"/>
    <x v="4"/>
    <x v="3"/>
    <n v="4"/>
    <n v="150"/>
    <x v="11"/>
    <x v="3"/>
    <n v="600"/>
  </r>
  <r>
    <x v="19"/>
    <x v="2"/>
    <x v="2"/>
    <n v="15"/>
    <n v="230"/>
    <x v="10"/>
    <x v="4"/>
    <n v="3450"/>
  </r>
  <r>
    <x v="20"/>
    <x v="3"/>
    <x v="1"/>
    <n v="7"/>
    <n v="16"/>
    <x v="5"/>
    <x v="5"/>
    <n v="112"/>
  </r>
  <r>
    <x v="20"/>
    <x v="1"/>
    <x v="0"/>
    <n v="18"/>
    <n v="40"/>
    <x v="2"/>
    <x v="1"/>
    <n v="720"/>
  </r>
  <r>
    <x v="20"/>
    <x v="1"/>
    <x v="2"/>
    <n v="4"/>
    <n v="40"/>
    <x v="9"/>
    <x v="2"/>
    <n v="160"/>
  </r>
  <r>
    <x v="20"/>
    <x v="1"/>
    <x v="4"/>
    <n v="16"/>
    <n v="40"/>
    <x v="7"/>
    <x v="3"/>
    <n v="640"/>
  </r>
  <r>
    <x v="20"/>
    <x v="1"/>
    <x v="1"/>
    <n v="18"/>
    <n v="40"/>
    <x v="5"/>
    <x v="4"/>
    <n v="720"/>
  </r>
  <r>
    <x v="20"/>
    <x v="1"/>
    <x v="0"/>
    <n v="9"/>
    <n v="40"/>
    <x v="0"/>
    <x v="5"/>
    <n v="360"/>
  </r>
  <r>
    <x v="20"/>
    <x v="2"/>
    <x v="3"/>
    <n v="16"/>
    <n v="230"/>
    <x v="2"/>
    <x v="6"/>
    <n v="3680"/>
  </r>
  <r>
    <x v="20"/>
    <x v="3"/>
    <x v="2"/>
    <n v="12"/>
    <n v="16"/>
    <x v="2"/>
    <x v="7"/>
    <n v="192"/>
  </r>
  <r>
    <x v="20"/>
    <x v="0"/>
    <x v="1"/>
    <n v="2"/>
    <n v="80"/>
    <x v="8"/>
    <x v="8"/>
    <n v="160"/>
  </r>
  <r>
    <x v="20"/>
    <x v="1"/>
    <x v="0"/>
    <n v="2"/>
    <n v="40"/>
    <x v="11"/>
    <x v="9"/>
    <n v="80"/>
  </r>
  <r>
    <x v="21"/>
    <x v="4"/>
    <x v="0"/>
    <n v="13"/>
    <n v="150"/>
    <x v="1"/>
    <x v="10"/>
    <n v="1950"/>
  </r>
  <r>
    <x v="21"/>
    <x v="0"/>
    <x v="0"/>
    <n v="14"/>
    <n v="80"/>
    <x v="5"/>
    <x v="11"/>
    <n v="1120"/>
  </r>
  <r>
    <x v="21"/>
    <x v="4"/>
    <x v="3"/>
    <n v="6"/>
    <n v="150"/>
    <x v="3"/>
    <x v="0"/>
    <n v="900"/>
  </r>
  <r>
    <x v="21"/>
    <x v="0"/>
    <x v="3"/>
    <n v="23"/>
    <n v="80"/>
    <x v="2"/>
    <x v="1"/>
    <n v="1840"/>
  </r>
  <r>
    <x v="21"/>
    <x v="0"/>
    <x v="3"/>
    <n v="21"/>
    <n v="80"/>
    <x v="1"/>
    <x v="2"/>
    <n v="1680"/>
  </r>
  <r>
    <x v="21"/>
    <x v="3"/>
    <x v="2"/>
    <n v="3"/>
    <n v="16"/>
    <x v="1"/>
    <x v="3"/>
    <n v="48"/>
  </r>
  <r>
    <x v="21"/>
    <x v="3"/>
    <x v="1"/>
    <n v="21"/>
    <n v="16"/>
    <x v="4"/>
    <x v="4"/>
    <n v="336"/>
  </r>
  <r>
    <x v="21"/>
    <x v="0"/>
    <x v="3"/>
    <n v="4"/>
    <n v="80"/>
    <x v="2"/>
    <x v="5"/>
    <n v="320"/>
  </r>
  <r>
    <x v="21"/>
    <x v="4"/>
    <x v="4"/>
    <n v="23"/>
    <n v="150"/>
    <x v="5"/>
    <x v="1"/>
    <n v="3450"/>
  </r>
  <r>
    <x v="21"/>
    <x v="3"/>
    <x v="4"/>
    <n v="23"/>
    <n v="16"/>
    <x v="0"/>
    <x v="2"/>
    <n v="368"/>
  </r>
  <r>
    <x v="21"/>
    <x v="1"/>
    <x v="3"/>
    <n v="22"/>
    <n v="40"/>
    <x v="0"/>
    <x v="3"/>
    <n v="880"/>
  </r>
  <r>
    <x v="22"/>
    <x v="4"/>
    <x v="0"/>
    <n v="8"/>
    <n v="150"/>
    <x v="7"/>
    <x v="4"/>
    <n v="1200"/>
  </r>
  <r>
    <x v="22"/>
    <x v="4"/>
    <x v="0"/>
    <n v="20"/>
    <n v="150"/>
    <x v="0"/>
    <x v="5"/>
    <n v="3000"/>
  </r>
  <r>
    <x v="22"/>
    <x v="2"/>
    <x v="1"/>
    <n v="22"/>
    <n v="230"/>
    <x v="2"/>
    <x v="6"/>
    <n v="5060"/>
  </r>
  <r>
    <x v="22"/>
    <x v="3"/>
    <x v="2"/>
    <n v="23"/>
    <n v="16"/>
    <x v="2"/>
    <x v="7"/>
    <n v="368"/>
  </r>
  <r>
    <x v="22"/>
    <x v="0"/>
    <x v="0"/>
    <n v="6"/>
    <n v="80"/>
    <x v="0"/>
    <x v="8"/>
    <n v="480"/>
  </r>
  <r>
    <x v="22"/>
    <x v="3"/>
    <x v="0"/>
    <n v="7"/>
    <n v="16"/>
    <x v="11"/>
    <x v="9"/>
    <n v="112"/>
  </r>
  <r>
    <x v="22"/>
    <x v="0"/>
    <x v="1"/>
    <n v="10"/>
    <n v="80"/>
    <x v="2"/>
    <x v="10"/>
    <n v="800"/>
  </r>
  <r>
    <x v="22"/>
    <x v="2"/>
    <x v="0"/>
    <n v="9"/>
    <n v="230"/>
    <x v="8"/>
    <x v="11"/>
    <n v="2070"/>
  </r>
  <r>
    <x v="23"/>
    <x v="1"/>
    <x v="1"/>
    <n v="12"/>
    <n v="40"/>
    <x v="6"/>
    <x v="0"/>
    <n v="480"/>
  </r>
  <r>
    <x v="23"/>
    <x v="3"/>
    <x v="4"/>
    <n v="17"/>
    <n v="16"/>
    <x v="6"/>
    <x v="1"/>
    <n v="272"/>
  </r>
  <r>
    <x v="23"/>
    <x v="4"/>
    <x v="2"/>
    <n v="22"/>
    <n v="150"/>
    <x v="10"/>
    <x v="2"/>
    <n v="3300"/>
  </r>
  <r>
    <x v="23"/>
    <x v="4"/>
    <x v="2"/>
    <n v="11"/>
    <n v="150"/>
    <x v="1"/>
    <x v="3"/>
    <n v="1650"/>
  </r>
  <r>
    <x v="23"/>
    <x v="0"/>
    <x v="4"/>
    <n v="9"/>
    <n v="80"/>
    <x v="4"/>
    <x v="4"/>
    <n v="720"/>
  </r>
  <r>
    <x v="23"/>
    <x v="0"/>
    <x v="4"/>
    <n v="13"/>
    <n v="80"/>
    <x v="1"/>
    <x v="5"/>
    <n v="1040"/>
  </r>
  <r>
    <x v="23"/>
    <x v="1"/>
    <x v="4"/>
    <n v="20"/>
    <n v="40"/>
    <x v="6"/>
    <x v="1"/>
    <n v="800"/>
  </r>
  <r>
    <x v="23"/>
    <x v="1"/>
    <x v="1"/>
    <n v="15"/>
    <n v="40"/>
    <x v="4"/>
    <x v="2"/>
    <n v="600"/>
  </r>
  <r>
    <x v="24"/>
    <x v="4"/>
    <x v="4"/>
    <n v="15"/>
    <n v="150"/>
    <x v="8"/>
    <x v="3"/>
    <n v="2250"/>
  </r>
  <r>
    <x v="24"/>
    <x v="0"/>
    <x v="4"/>
    <n v="16"/>
    <n v="80"/>
    <x v="7"/>
    <x v="4"/>
    <n v="1280"/>
  </r>
  <r>
    <x v="24"/>
    <x v="2"/>
    <x v="0"/>
    <n v="16"/>
    <n v="230"/>
    <x v="8"/>
    <x v="5"/>
    <n v="3680"/>
  </r>
  <r>
    <x v="24"/>
    <x v="0"/>
    <x v="1"/>
    <n v="14"/>
    <n v="80"/>
    <x v="2"/>
    <x v="6"/>
    <n v="1120"/>
  </r>
  <r>
    <x v="24"/>
    <x v="0"/>
    <x v="4"/>
    <n v="17"/>
    <n v="80"/>
    <x v="8"/>
    <x v="7"/>
    <n v="1360"/>
  </r>
  <r>
    <x v="24"/>
    <x v="0"/>
    <x v="2"/>
    <n v="16"/>
    <n v="80"/>
    <x v="4"/>
    <x v="8"/>
    <n v="1280"/>
  </r>
  <r>
    <x v="24"/>
    <x v="3"/>
    <x v="0"/>
    <n v="21"/>
    <n v="16"/>
    <x v="7"/>
    <x v="9"/>
    <n v="336"/>
  </r>
  <r>
    <x v="24"/>
    <x v="4"/>
    <x v="0"/>
    <n v="9"/>
    <n v="150"/>
    <x v="6"/>
    <x v="10"/>
    <n v="1350"/>
  </r>
  <r>
    <x v="24"/>
    <x v="4"/>
    <x v="3"/>
    <n v="3"/>
    <n v="150"/>
    <x v="0"/>
    <x v="11"/>
    <n v="450"/>
  </r>
  <r>
    <x v="25"/>
    <x v="0"/>
    <x v="1"/>
    <n v="14"/>
    <n v="80"/>
    <x v="9"/>
    <x v="0"/>
    <n v="1120"/>
  </r>
  <r>
    <x v="25"/>
    <x v="4"/>
    <x v="4"/>
    <n v="4"/>
    <n v="150"/>
    <x v="1"/>
    <x v="1"/>
    <n v="600"/>
  </r>
  <r>
    <x v="25"/>
    <x v="3"/>
    <x v="1"/>
    <n v="20"/>
    <n v="16"/>
    <x v="9"/>
    <x v="2"/>
    <n v="320"/>
  </r>
  <r>
    <x v="25"/>
    <x v="2"/>
    <x v="2"/>
    <n v="7"/>
    <n v="230"/>
    <x v="0"/>
    <x v="3"/>
    <n v="1610"/>
  </r>
  <r>
    <x v="25"/>
    <x v="0"/>
    <x v="1"/>
    <n v="9"/>
    <n v="80"/>
    <x v="3"/>
    <x v="4"/>
    <n v="720"/>
  </r>
  <r>
    <x v="25"/>
    <x v="1"/>
    <x v="3"/>
    <n v="4"/>
    <n v="40"/>
    <x v="1"/>
    <x v="5"/>
    <n v="160"/>
  </r>
  <r>
    <x v="25"/>
    <x v="0"/>
    <x v="0"/>
    <n v="6"/>
    <n v="80"/>
    <x v="8"/>
    <x v="1"/>
    <n v="480"/>
  </r>
  <r>
    <x v="25"/>
    <x v="3"/>
    <x v="2"/>
    <n v="8"/>
    <n v="16"/>
    <x v="3"/>
    <x v="2"/>
    <n v="128"/>
  </r>
  <r>
    <x v="25"/>
    <x v="3"/>
    <x v="0"/>
    <n v="10"/>
    <n v="16"/>
    <x v="5"/>
    <x v="3"/>
    <n v="160"/>
  </r>
  <r>
    <x v="25"/>
    <x v="3"/>
    <x v="3"/>
    <n v="22"/>
    <n v="16"/>
    <x v="3"/>
    <x v="4"/>
    <n v="352"/>
  </r>
  <r>
    <x v="25"/>
    <x v="0"/>
    <x v="3"/>
    <n v="11"/>
    <n v="80"/>
    <x v="0"/>
    <x v="5"/>
    <n v="880"/>
  </r>
  <r>
    <x v="25"/>
    <x v="3"/>
    <x v="3"/>
    <n v="7"/>
    <n v="16"/>
    <x v="5"/>
    <x v="6"/>
    <n v="112"/>
  </r>
  <r>
    <x v="26"/>
    <x v="3"/>
    <x v="2"/>
    <n v="11"/>
    <n v="16"/>
    <x v="11"/>
    <x v="7"/>
    <n v="176"/>
  </r>
  <r>
    <x v="26"/>
    <x v="1"/>
    <x v="4"/>
    <n v="7"/>
    <n v="40"/>
    <x v="1"/>
    <x v="8"/>
    <n v="280"/>
  </r>
  <r>
    <x v="26"/>
    <x v="4"/>
    <x v="2"/>
    <n v="9"/>
    <n v="150"/>
    <x v="9"/>
    <x v="9"/>
    <n v="1350"/>
  </r>
  <r>
    <x v="26"/>
    <x v="2"/>
    <x v="0"/>
    <n v="20"/>
    <n v="230"/>
    <x v="10"/>
    <x v="10"/>
    <n v="4600"/>
  </r>
  <r>
    <x v="26"/>
    <x v="4"/>
    <x v="2"/>
    <n v="9"/>
    <n v="150"/>
    <x v="4"/>
    <x v="11"/>
    <n v="1350"/>
  </r>
  <r>
    <x v="26"/>
    <x v="0"/>
    <x v="1"/>
    <n v="5"/>
    <n v="80"/>
    <x v="8"/>
    <x v="0"/>
    <n v="400"/>
  </r>
  <r>
    <x v="26"/>
    <x v="4"/>
    <x v="2"/>
    <n v="20"/>
    <n v="150"/>
    <x v="10"/>
    <x v="1"/>
    <n v="3000"/>
  </r>
  <r>
    <x v="26"/>
    <x v="4"/>
    <x v="3"/>
    <n v="15"/>
    <n v="150"/>
    <x v="1"/>
    <x v="2"/>
    <n v="2250"/>
  </r>
  <r>
    <x v="26"/>
    <x v="0"/>
    <x v="0"/>
    <n v="20"/>
    <n v="80"/>
    <x v="0"/>
    <x v="3"/>
    <n v="1600"/>
  </r>
  <r>
    <x v="27"/>
    <x v="2"/>
    <x v="1"/>
    <n v="12"/>
    <n v="230"/>
    <x v="3"/>
    <x v="4"/>
    <n v="2760"/>
  </r>
  <r>
    <x v="27"/>
    <x v="1"/>
    <x v="4"/>
    <n v="20"/>
    <n v="40"/>
    <x v="1"/>
    <x v="5"/>
    <n v="800"/>
  </r>
  <r>
    <x v="27"/>
    <x v="1"/>
    <x v="4"/>
    <n v="4"/>
    <n v="40"/>
    <x v="7"/>
    <x v="1"/>
    <n v="160"/>
  </r>
  <r>
    <x v="27"/>
    <x v="3"/>
    <x v="2"/>
    <n v="6"/>
    <n v="16"/>
    <x v="8"/>
    <x v="2"/>
    <n v="96"/>
  </r>
  <r>
    <x v="27"/>
    <x v="0"/>
    <x v="1"/>
    <n v="13"/>
    <n v="80"/>
    <x v="9"/>
    <x v="3"/>
    <n v="1040"/>
  </r>
  <r>
    <x v="27"/>
    <x v="4"/>
    <x v="0"/>
    <n v="4"/>
    <n v="150"/>
    <x v="6"/>
    <x v="4"/>
    <n v="600"/>
  </r>
  <r>
    <x v="27"/>
    <x v="4"/>
    <x v="3"/>
    <n v="9"/>
    <n v="150"/>
    <x v="4"/>
    <x v="5"/>
    <n v="1350"/>
  </r>
  <r>
    <x v="27"/>
    <x v="4"/>
    <x v="0"/>
    <n v="11"/>
    <n v="150"/>
    <x v="1"/>
    <x v="6"/>
    <n v="1650"/>
  </r>
  <r>
    <x v="27"/>
    <x v="3"/>
    <x v="2"/>
    <n v="6"/>
    <n v="16"/>
    <x v="9"/>
    <x v="7"/>
    <n v="96"/>
  </r>
  <r>
    <x v="28"/>
    <x v="2"/>
    <x v="2"/>
    <n v="14"/>
    <n v="230"/>
    <x v="11"/>
    <x v="8"/>
    <n v="3220"/>
  </r>
  <r>
    <x v="28"/>
    <x v="0"/>
    <x v="1"/>
    <n v="15"/>
    <n v="80"/>
    <x v="11"/>
    <x v="9"/>
    <n v="1200"/>
  </r>
  <r>
    <x v="28"/>
    <x v="2"/>
    <x v="3"/>
    <n v="17"/>
    <n v="230"/>
    <x v="11"/>
    <x v="10"/>
    <n v="3910"/>
  </r>
  <r>
    <x v="28"/>
    <x v="4"/>
    <x v="0"/>
    <n v="5"/>
    <n v="150"/>
    <x v="2"/>
    <x v="11"/>
    <n v="750"/>
  </r>
  <r>
    <x v="28"/>
    <x v="0"/>
    <x v="4"/>
    <n v="10"/>
    <n v="80"/>
    <x v="9"/>
    <x v="0"/>
    <n v="800"/>
  </r>
  <r>
    <x v="28"/>
    <x v="0"/>
    <x v="0"/>
    <n v="9"/>
    <n v="80"/>
    <x v="10"/>
    <x v="1"/>
    <n v="720"/>
  </r>
  <r>
    <x v="28"/>
    <x v="1"/>
    <x v="4"/>
    <n v="16"/>
    <n v="40"/>
    <x v="7"/>
    <x v="2"/>
    <n v="640"/>
  </r>
  <r>
    <x v="28"/>
    <x v="2"/>
    <x v="0"/>
    <n v="7"/>
    <n v="230"/>
    <x v="5"/>
    <x v="3"/>
    <n v="1610"/>
  </r>
  <r>
    <x v="28"/>
    <x v="0"/>
    <x v="3"/>
    <n v="17"/>
    <n v="80"/>
    <x v="1"/>
    <x v="4"/>
    <n v="1360"/>
  </r>
  <r>
    <x v="28"/>
    <x v="2"/>
    <x v="0"/>
    <n v="11"/>
    <n v="230"/>
    <x v="4"/>
    <x v="5"/>
    <n v="2530"/>
  </r>
  <r>
    <x v="29"/>
    <x v="1"/>
    <x v="0"/>
    <n v="15"/>
    <n v="40"/>
    <x v="9"/>
    <x v="1"/>
    <n v="600"/>
  </r>
  <r>
    <x v="30"/>
    <x v="2"/>
    <x v="0"/>
    <n v="7"/>
    <n v="230"/>
    <x v="4"/>
    <x v="2"/>
    <n v="1610"/>
  </r>
  <r>
    <x v="30"/>
    <x v="0"/>
    <x v="2"/>
    <n v="20"/>
    <n v="80"/>
    <x v="8"/>
    <x v="3"/>
    <n v="1600"/>
  </r>
  <r>
    <x v="30"/>
    <x v="0"/>
    <x v="1"/>
    <n v="3"/>
    <n v="80"/>
    <x v="4"/>
    <x v="4"/>
    <n v="240"/>
  </r>
  <r>
    <x v="30"/>
    <x v="4"/>
    <x v="2"/>
    <n v="2"/>
    <n v="150"/>
    <x v="4"/>
    <x v="5"/>
    <n v="300"/>
  </r>
  <r>
    <x v="30"/>
    <x v="4"/>
    <x v="2"/>
    <n v="22"/>
    <n v="150"/>
    <x v="7"/>
    <x v="6"/>
    <n v="3300"/>
  </r>
  <r>
    <x v="30"/>
    <x v="2"/>
    <x v="0"/>
    <n v="5"/>
    <n v="230"/>
    <x v="6"/>
    <x v="7"/>
    <n v="1150"/>
  </r>
  <r>
    <x v="30"/>
    <x v="3"/>
    <x v="4"/>
    <n v="12"/>
    <n v="16"/>
    <x v="10"/>
    <x v="8"/>
    <n v="192"/>
  </r>
  <r>
    <x v="30"/>
    <x v="1"/>
    <x v="3"/>
    <n v="6"/>
    <n v="40"/>
    <x v="8"/>
    <x v="9"/>
    <n v="240"/>
  </r>
  <r>
    <x v="30"/>
    <x v="3"/>
    <x v="4"/>
    <n v="15"/>
    <n v="16"/>
    <x v="0"/>
    <x v="10"/>
    <n v="240"/>
  </r>
  <r>
    <x v="0"/>
    <x v="4"/>
    <x v="4"/>
    <n v="13"/>
    <n v="150"/>
    <x v="2"/>
    <x v="11"/>
    <n v="1950"/>
  </r>
  <r>
    <x v="0"/>
    <x v="1"/>
    <x v="1"/>
    <n v="8"/>
    <n v="40"/>
    <x v="7"/>
    <x v="0"/>
    <n v="320"/>
  </r>
  <r>
    <x v="0"/>
    <x v="1"/>
    <x v="3"/>
    <n v="7"/>
    <n v="40"/>
    <x v="8"/>
    <x v="1"/>
    <n v="280"/>
  </r>
  <r>
    <x v="0"/>
    <x v="1"/>
    <x v="1"/>
    <n v="18"/>
    <n v="40"/>
    <x v="5"/>
    <x v="2"/>
    <n v="720"/>
  </r>
  <r>
    <x v="0"/>
    <x v="2"/>
    <x v="3"/>
    <n v="19"/>
    <n v="230"/>
    <x v="9"/>
    <x v="3"/>
    <n v="4370"/>
  </r>
  <r>
    <x v="0"/>
    <x v="4"/>
    <x v="0"/>
    <n v="4"/>
    <n v="150"/>
    <x v="6"/>
    <x v="4"/>
    <n v="600"/>
  </r>
  <r>
    <x v="1"/>
    <x v="0"/>
    <x v="4"/>
    <n v="9"/>
    <n v="80"/>
    <x v="9"/>
    <x v="5"/>
    <n v="720"/>
  </r>
  <r>
    <x v="1"/>
    <x v="0"/>
    <x v="2"/>
    <n v="16"/>
    <n v="80"/>
    <x v="4"/>
    <x v="1"/>
    <n v="1280"/>
  </r>
  <r>
    <x v="1"/>
    <x v="2"/>
    <x v="1"/>
    <n v="15"/>
    <n v="230"/>
    <x v="7"/>
    <x v="2"/>
    <n v="3450"/>
  </r>
  <r>
    <x v="1"/>
    <x v="3"/>
    <x v="4"/>
    <n v="15"/>
    <n v="16"/>
    <x v="0"/>
    <x v="3"/>
    <n v="240"/>
  </r>
  <r>
    <x v="1"/>
    <x v="2"/>
    <x v="0"/>
    <n v="7"/>
    <n v="230"/>
    <x v="4"/>
    <x v="4"/>
    <n v="1610"/>
  </r>
  <r>
    <x v="1"/>
    <x v="3"/>
    <x v="2"/>
    <n v="23"/>
    <n v="16"/>
    <x v="2"/>
    <x v="5"/>
    <n v="368"/>
  </r>
  <r>
    <x v="1"/>
    <x v="1"/>
    <x v="4"/>
    <n v="20"/>
    <n v="40"/>
    <x v="1"/>
    <x v="6"/>
    <n v="800"/>
  </r>
  <r>
    <x v="2"/>
    <x v="2"/>
    <x v="1"/>
    <n v="9"/>
    <n v="230"/>
    <x v="3"/>
    <x v="7"/>
    <n v="2070"/>
  </r>
  <r>
    <x v="2"/>
    <x v="1"/>
    <x v="3"/>
    <n v="23"/>
    <n v="40"/>
    <x v="9"/>
    <x v="8"/>
    <n v="920"/>
  </r>
  <r>
    <x v="2"/>
    <x v="1"/>
    <x v="3"/>
    <n v="4"/>
    <n v="40"/>
    <x v="1"/>
    <x v="9"/>
    <n v="160"/>
  </r>
  <r>
    <x v="2"/>
    <x v="4"/>
    <x v="0"/>
    <n v="13"/>
    <n v="150"/>
    <x v="1"/>
    <x v="10"/>
    <n v="1950"/>
  </r>
  <r>
    <x v="2"/>
    <x v="2"/>
    <x v="1"/>
    <n v="7"/>
    <n v="230"/>
    <x v="0"/>
    <x v="11"/>
    <n v="1610"/>
  </r>
  <r>
    <x v="2"/>
    <x v="2"/>
    <x v="1"/>
    <n v="7"/>
    <n v="230"/>
    <x v="5"/>
    <x v="0"/>
    <n v="1610"/>
  </r>
  <r>
    <x v="2"/>
    <x v="2"/>
    <x v="2"/>
    <n v="15"/>
    <n v="230"/>
    <x v="10"/>
    <x v="1"/>
    <n v="3450"/>
  </r>
  <r>
    <x v="2"/>
    <x v="1"/>
    <x v="3"/>
    <n v="15"/>
    <n v="40"/>
    <x v="3"/>
    <x v="2"/>
    <n v="600"/>
  </r>
  <r>
    <x v="2"/>
    <x v="1"/>
    <x v="2"/>
    <n v="2"/>
    <n v="40"/>
    <x v="3"/>
    <x v="3"/>
    <n v="80"/>
  </r>
  <r>
    <x v="2"/>
    <x v="4"/>
    <x v="2"/>
    <n v="2"/>
    <n v="150"/>
    <x v="4"/>
    <x v="4"/>
    <n v="300"/>
  </r>
  <r>
    <x v="3"/>
    <x v="2"/>
    <x v="0"/>
    <n v="3"/>
    <n v="230"/>
    <x v="2"/>
    <x v="5"/>
    <n v="690"/>
  </r>
  <r>
    <x v="3"/>
    <x v="1"/>
    <x v="2"/>
    <n v="4"/>
    <n v="40"/>
    <x v="9"/>
    <x v="1"/>
    <n v="160"/>
  </r>
  <r>
    <x v="3"/>
    <x v="1"/>
    <x v="3"/>
    <n v="13"/>
    <n v="40"/>
    <x v="9"/>
    <x v="2"/>
    <n v="520"/>
  </r>
  <r>
    <x v="3"/>
    <x v="3"/>
    <x v="3"/>
    <n v="15"/>
    <n v="16"/>
    <x v="11"/>
    <x v="3"/>
    <n v="240"/>
  </r>
  <r>
    <x v="3"/>
    <x v="0"/>
    <x v="0"/>
    <n v="14"/>
    <n v="80"/>
    <x v="5"/>
    <x v="4"/>
    <n v="1120"/>
  </r>
  <r>
    <x v="3"/>
    <x v="3"/>
    <x v="0"/>
    <n v="7"/>
    <n v="16"/>
    <x v="5"/>
    <x v="5"/>
    <n v="112"/>
  </r>
  <r>
    <x v="3"/>
    <x v="4"/>
    <x v="1"/>
    <n v="13"/>
    <n v="150"/>
    <x v="4"/>
    <x v="6"/>
    <n v="1950"/>
  </r>
  <r>
    <x v="3"/>
    <x v="4"/>
    <x v="2"/>
    <n v="9"/>
    <n v="150"/>
    <x v="4"/>
    <x v="7"/>
    <n v="1350"/>
  </r>
  <r>
    <x v="3"/>
    <x v="1"/>
    <x v="0"/>
    <n v="9"/>
    <n v="40"/>
    <x v="0"/>
    <x v="8"/>
    <n v="360"/>
  </r>
  <r>
    <x v="4"/>
    <x v="0"/>
    <x v="4"/>
    <n v="9"/>
    <n v="80"/>
    <x v="8"/>
    <x v="9"/>
    <n v="720"/>
  </r>
  <r>
    <x v="4"/>
    <x v="2"/>
    <x v="1"/>
    <n v="22"/>
    <n v="230"/>
    <x v="2"/>
    <x v="10"/>
    <n v="5060"/>
  </r>
  <r>
    <x v="4"/>
    <x v="4"/>
    <x v="1"/>
    <n v="15"/>
    <n v="150"/>
    <x v="4"/>
    <x v="11"/>
    <n v="2250"/>
  </r>
  <r>
    <x v="4"/>
    <x v="2"/>
    <x v="4"/>
    <n v="5"/>
    <n v="230"/>
    <x v="11"/>
    <x v="0"/>
    <n v="1150"/>
  </r>
  <r>
    <x v="4"/>
    <x v="1"/>
    <x v="2"/>
    <n v="20"/>
    <n v="40"/>
    <x v="0"/>
    <x v="1"/>
    <n v="800"/>
  </r>
  <r>
    <x v="4"/>
    <x v="1"/>
    <x v="0"/>
    <n v="23"/>
    <n v="40"/>
    <x v="3"/>
    <x v="2"/>
    <n v="920"/>
  </r>
  <r>
    <x v="4"/>
    <x v="0"/>
    <x v="4"/>
    <n v="16"/>
    <n v="80"/>
    <x v="1"/>
    <x v="3"/>
    <n v="1280"/>
  </r>
  <r>
    <x v="4"/>
    <x v="2"/>
    <x v="2"/>
    <n v="18"/>
    <n v="230"/>
    <x v="0"/>
    <x v="4"/>
    <n v="4140"/>
  </r>
  <r>
    <x v="4"/>
    <x v="1"/>
    <x v="4"/>
    <n v="23"/>
    <n v="40"/>
    <x v="1"/>
    <x v="5"/>
    <n v="920"/>
  </r>
  <r>
    <x v="4"/>
    <x v="3"/>
    <x v="3"/>
    <n v="5"/>
    <n v="16"/>
    <x v="7"/>
    <x v="1"/>
    <n v="80"/>
  </r>
  <r>
    <x v="4"/>
    <x v="1"/>
    <x v="0"/>
    <n v="22"/>
    <n v="40"/>
    <x v="4"/>
    <x v="2"/>
    <n v="880"/>
  </r>
  <r>
    <x v="5"/>
    <x v="4"/>
    <x v="0"/>
    <n v="23"/>
    <n v="150"/>
    <x v="6"/>
    <x v="3"/>
    <n v="3450"/>
  </r>
  <r>
    <x v="5"/>
    <x v="2"/>
    <x v="1"/>
    <n v="22"/>
    <n v="230"/>
    <x v="10"/>
    <x v="4"/>
    <n v="5060"/>
  </r>
  <r>
    <x v="5"/>
    <x v="0"/>
    <x v="3"/>
    <n v="16"/>
    <n v="80"/>
    <x v="8"/>
    <x v="5"/>
    <n v="1280"/>
  </r>
  <r>
    <x v="5"/>
    <x v="4"/>
    <x v="2"/>
    <n v="22"/>
    <n v="150"/>
    <x v="7"/>
    <x v="6"/>
    <n v="3300"/>
  </r>
  <r>
    <x v="5"/>
    <x v="0"/>
    <x v="2"/>
    <n v="5"/>
    <n v="80"/>
    <x v="7"/>
    <x v="7"/>
    <n v="400"/>
  </r>
  <r>
    <x v="5"/>
    <x v="0"/>
    <x v="3"/>
    <n v="16"/>
    <n v="80"/>
    <x v="6"/>
    <x v="8"/>
    <n v="1280"/>
  </r>
  <r>
    <x v="5"/>
    <x v="4"/>
    <x v="1"/>
    <n v="23"/>
    <n v="150"/>
    <x v="2"/>
    <x v="9"/>
    <n v="3450"/>
  </r>
  <r>
    <x v="5"/>
    <x v="3"/>
    <x v="1"/>
    <n v="4"/>
    <n v="16"/>
    <x v="7"/>
    <x v="10"/>
    <n v="64"/>
  </r>
  <r>
    <x v="5"/>
    <x v="3"/>
    <x v="1"/>
    <n v="4"/>
    <n v="16"/>
    <x v="8"/>
    <x v="11"/>
    <n v="64"/>
  </r>
  <r>
    <x v="5"/>
    <x v="3"/>
    <x v="0"/>
    <n v="16"/>
    <n v="16"/>
    <x v="3"/>
    <x v="0"/>
    <n v="256"/>
  </r>
  <r>
    <x v="5"/>
    <x v="1"/>
    <x v="3"/>
    <n v="18"/>
    <n v="40"/>
    <x v="10"/>
    <x v="1"/>
    <n v="720"/>
  </r>
  <r>
    <x v="5"/>
    <x v="0"/>
    <x v="3"/>
    <n v="21"/>
    <n v="80"/>
    <x v="4"/>
    <x v="2"/>
    <n v="1680"/>
  </r>
  <r>
    <x v="5"/>
    <x v="0"/>
    <x v="4"/>
    <n v="10"/>
    <n v="80"/>
    <x v="9"/>
    <x v="3"/>
    <n v="800"/>
  </r>
  <r>
    <x v="5"/>
    <x v="2"/>
    <x v="2"/>
    <n v="7"/>
    <n v="230"/>
    <x v="0"/>
    <x v="4"/>
    <n v="1610"/>
  </r>
  <r>
    <x v="6"/>
    <x v="3"/>
    <x v="4"/>
    <n v="11"/>
    <n v="16"/>
    <x v="11"/>
    <x v="5"/>
    <n v="176"/>
  </r>
  <r>
    <x v="6"/>
    <x v="0"/>
    <x v="3"/>
    <n v="10"/>
    <n v="80"/>
    <x v="6"/>
    <x v="1"/>
    <n v="800"/>
  </r>
  <r>
    <x v="6"/>
    <x v="1"/>
    <x v="1"/>
    <n v="23"/>
    <n v="40"/>
    <x v="9"/>
    <x v="2"/>
    <n v="920"/>
  </r>
  <r>
    <x v="6"/>
    <x v="4"/>
    <x v="4"/>
    <n v="7"/>
    <n v="150"/>
    <x v="4"/>
    <x v="3"/>
    <n v="1050"/>
  </r>
  <r>
    <x v="6"/>
    <x v="0"/>
    <x v="0"/>
    <n v="17"/>
    <n v="80"/>
    <x v="8"/>
    <x v="4"/>
    <n v="1360"/>
  </r>
  <r>
    <x v="6"/>
    <x v="4"/>
    <x v="1"/>
    <n v="20"/>
    <n v="150"/>
    <x v="7"/>
    <x v="5"/>
    <n v="3000"/>
  </r>
  <r>
    <x v="6"/>
    <x v="2"/>
    <x v="3"/>
    <n v="23"/>
    <n v="230"/>
    <x v="9"/>
    <x v="6"/>
    <n v="5290"/>
  </r>
  <r>
    <x v="6"/>
    <x v="0"/>
    <x v="1"/>
    <n v="16"/>
    <n v="80"/>
    <x v="10"/>
    <x v="7"/>
    <n v="1280"/>
  </r>
  <r>
    <x v="6"/>
    <x v="2"/>
    <x v="4"/>
    <n v="22"/>
    <n v="230"/>
    <x v="6"/>
    <x v="8"/>
    <n v="5060"/>
  </r>
  <r>
    <x v="6"/>
    <x v="2"/>
    <x v="2"/>
    <n v="15"/>
    <n v="230"/>
    <x v="2"/>
    <x v="9"/>
    <n v="3450"/>
  </r>
  <r>
    <x v="6"/>
    <x v="1"/>
    <x v="1"/>
    <n v="15"/>
    <n v="40"/>
    <x v="10"/>
    <x v="10"/>
    <n v="600"/>
  </r>
  <r>
    <x v="6"/>
    <x v="0"/>
    <x v="1"/>
    <n v="2"/>
    <n v="80"/>
    <x v="8"/>
    <x v="11"/>
    <n v="160"/>
  </r>
  <r>
    <x v="7"/>
    <x v="4"/>
    <x v="0"/>
    <n v="22"/>
    <n v="150"/>
    <x v="1"/>
    <x v="0"/>
    <n v="3300"/>
  </r>
  <r>
    <x v="7"/>
    <x v="1"/>
    <x v="4"/>
    <n v="20"/>
    <n v="40"/>
    <x v="8"/>
    <x v="1"/>
    <n v="800"/>
  </r>
  <r>
    <x v="7"/>
    <x v="2"/>
    <x v="3"/>
    <n v="2"/>
    <n v="230"/>
    <x v="7"/>
    <x v="2"/>
    <n v="460"/>
  </r>
  <r>
    <x v="7"/>
    <x v="1"/>
    <x v="3"/>
    <n v="7"/>
    <n v="40"/>
    <x v="2"/>
    <x v="3"/>
    <n v="280"/>
  </r>
  <r>
    <x v="7"/>
    <x v="0"/>
    <x v="3"/>
    <n v="7"/>
    <n v="80"/>
    <x v="8"/>
    <x v="4"/>
    <n v="560"/>
  </r>
  <r>
    <x v="7"/>
    <x v="1"/>
    <x v="3"/>
    <n v="9"/>
    <n v="40"/>
    <x v="9"/>
    <x v="5"/>
    <n v="360"/>
  </r>
  <r>
    <x v="7"/>
    <x v="1"/>
    <x v="0"/>
    <n v="18"/>
    <n v="40"/>
    <x v="2"/>
    <x v="1"/>
    <n v="720"/>
  </r>
  <r>
    <x v="7"/>
    <x v="2"/>
    <x v="0"/>
    <n v="20"/>
    <n v="230"/>
    <x v="10"/>
    <x v="2"/>
    <n v="4600"/>
  </r>
  <r>
    <x v="7"/>
    <x v="0"/>
    <x v="2"/>
    <n v="23"/>
    <n v="80"/>
    <x v="1"/>
    <x v="3"/>
    <n v="1840"/>
  </r>
  <r>
    <x v="7"/>
    <x v="4"/>
    <x v="4"/>
    <n v="11"/>
    <n v="150"/>
    <x v="7"/>
    <x v="4"/>
    <n v="1650"/>
  </r>
  <r>
    <x v="7"/>
    <x v="4"/>
    <x v="0"/>
    <n v="17"/>
    <n v="150"/>
    <x v="11"/>
    <x v="5"/>
    <n v="2550"/>
  </r>
  <r>
    <x v="7"/>
    <x v="2"/>
    <x v="4"/>
    <n v="2"/>
    <n v="230"/>
    <x v="5"/>
    <x v="6"/>
    <n v="460"/>
  </r>
  <r>
    <x v="7"/>
    <x v="0"/>
    <x v="2"/>
    <n v="10"/>
    <n v="80"/>
    <x v="2"/>
    <x v="7"/>
    <n v="800"/>
  </r>
  <r>
    <x v="8"/>
    <x v="3"/>
    <x v="3"/>
    <n v="22"/>
    <n v="16"/>
    <x v="3"/>
    <x v="8"/>
    <n v="352"/>
  </r>
  <r>
    <x v="8"/>
    <x v="3"/>
    <x v="2"/>
    <n v="9"/>
    <n v="16"/>
    <x v="1"/>
    <x v="9"/>
    <n v="144"/>
  </r>
  <r>
    <x v="8"/>
    <x v="1"/>
    <x v="2"/>
    <n v="4"/>
    <n v="40"/>
    <x v="6"/>
    <x v="10"/>
    <n v="160"/>
  </r>
  <r>
    <x v="8"/>
    <x v="0"/>
    <x v="4"/>
    <n v="9"/>
    <n v="80"/>
    <x v="4"/>
    <x v="11"/>
    <n v="720"/>
  </r>
  <r>
    <x v="8"/>
    <x v="2"/>
    <x v="2"/>
    <n v="6"/>
    <n v="230"/>
    <x v="1"/>
    <x v="0"/>
    <n v="1380"/>
  </r>
  <r>
    <x v="8"/>
    <x v="0"/>
    <x v="3"/>
    <n v="14"/>
    <n v="80"/>
    <x v="1"/>
    <x v="1"/>
    <n v="1120"/>
  </r>
  <r>
    <x v="8"/>
    <x v="3"/>
    <x v="4"/>
    <n v="17"/>
    <n v="16"/>
    <x v="5"/>
    <x v="2"/>
    <n v="272"/>
  </r>
  <r>
    <x v="8"/>
    <x v="4"/>
    <x v="1"/>
    <n v="22"/>
    <n v="150"/>
    <x v="4"/>
    <x v="3"/>
    <n v="3300"/>
  </r>
  <r>
    <x v="8"/>
    <x v="1"/>
    <x v="4"/>
    <n v="17"/>
    <n v="40"/>
    <x v="4"/>
    <x v="4"/>
    <n v="680"/>
  </r>
  <r>
    <x v="8"/>
    <x v="0"/>
    <x v="4"/>
    <n v="17"/>
    <n v="80"/>
    <x v="8"/>
    <x v="5"/>
    <n v="1360"/>
  </r>
  <r>
    <x v="8"/>
    <x v="4"/>
    <x v="3"/>
    <n v="4"/>
    <n v="150"/>
    <x v="11"/>
    <x v="1"/>
    <n v="600"/>
  </r>
  <r>
    <x v="8"/>
    <x v="3"/>
    <x v="3"/>
    <n v="14"/>
    <n v="16"/>
    <x v="11"/>
    <x v="2"/>
    <n v="224"/>
  </r>
  <r>
    <x v="8"/>
    <x v="3"/>
    <x v="0"/>
    <n v="18"/>
    <n v="16"/>
    <x v="2"/>
    <x v="3"/>
    <n v="288"/>
  </r>
  <r>
    <x v="8"/>
    <x v="0"/>
    <x v="4"/>
    <n v="22"/>
    <n v="80"/>
    <x v="7"/>
    <x v="4"/>
    <n v="1760"/>
  </r>
  <r>
    <x v="8"/>
    <x v="2"/>
    <x v="1"/>
    <n v="12"/>
    <n v="230"/>
    <x v="3"/>
    <x v="5"/>
    <n v="2760"/>
  </r>
  <r>
    <x v="8"/>
    <x v="1"/>
    <x v="1"/>
    <n v="12"/>
    <n v="40"/>
    <x v="6"/>
    <x v="6"/>
    <n v="480"/>
  </r>
  <r>
    <x v="9"/>
    <x v="1"/>
    <x v="4"/>
    <n v="7"/>
    <n v="40"/>
    <x v="11"/>
    <x v="7"/>
    <n v="280"/>
  </r>
  <r>
    <x v="9"/>
    <x v="0"/>
    <x v="0"/>
    <n v="12"/>
    <n v="80"/>
    <x v="10"/>
    <x v="8"/>
    <n v="960"/>
  </r>
  <r>
    <x v="9"/>
    <x v="3"/>
    <x v="4"/>
    <n v="17"/>
    <n v="16"/>
    <x v="6"/>
    <x v="9"/>
    <n v="272"/>
  </r>
  <r>
    <x v="9"/>
    <x v="2"/>
    <x v="1"/>
    <n v="6"/>
    <n v="230"/>
    <x v="6"/>
    <x v="10"/>
    <n v="1380"/>
  </r>
  <r>
    <x v="9"/>
    <x v="1"/>
    <x v="0"/>
    <n v="11"/>
    <n v="40"/>
    <x v="10"/>
    <x v="11"/>
    <n v="440"/>
  </r>
  <r>
    <x v="9"/>
    <x v="3"/>
    <x v="3"/>
    <n v="10"/>
    <n v="16"/>
    <x v="10"/>
    <x v="0"/>
    <n v="160"/>
  </r>
  <r>
    <x v="9"/>
    <x v="0"/>
    <x v="0"/>
    <n v="6"/>
    <n v="80"/>
    <x v="8"/>
    <x v="1"/>
    <n v="480"/>
  </r>
  <r>
    <x v="9"/>
    <x v="1"/>
    <x v="3"/>
    <n v="11"/>
    <n v="40"/>
    <x v="7"/>
    <x v="2"/>
    <n v="440"/>
  </r>
  <r>
    <x v="9"/>
    <x v="0"/>
    <x v="4"/>
    <n v="16"/>
    <n v="80"/>
    <x v="7"/>
    <x v="3"/>
    <n v="1280"/>
  </r>
  <r>
    <x v="9"/>
    <x v="1"/>
    <x v="3"/>
    <n v="13"/>
    <n v="40"/>
    <x v="7"/>
    <x v="4"/>
    <n v="520"/>
  </r>
  <r>
    <x v="9"/>
    <x v="2"/>
    <x v="0"/>
    <n v="5"/>
    <n v="230"/>
    <x v="6"/>
    <x v="5"/>
    <n v="1150"/>
  </r>
  <r>
    <x v="10"/>
    <x v="1"/>
    <x v="4"/>
    <n v="7"/>
    <n v="40"/>
    <x v="1"/>
    <x v="1"/>
    <n v="280"/>
  </r>
  <r>
    <x v="10"/>
    <x v="0"/>
    <x v="2"/>
    <n v="14"/>
    <n v="80"/>
    <x v="6"/>
    <x v="2"/>
    <n v="1120"/>
  </r>
  <r>
    <x v="10"/>
    <x v="3"/>
    <x v="4"/>
    <n v="12"/>
    <n v="16"/>
    <x v="10"/>
    <x v="3"/>
    <n v="192"/>
  </r>
  <r>
    <x v="10"/>
    <x v="2"/>
    <x v="2"/>
    <n v="14"/>
    <n v="230"/>
    <x v="3"/>
    <x v="4"/>
    <n v="3220"/>
  </r>
  <r>
    <x v="10"/>
    <x v="0"/>
    <x v="4"/>
    <n v="21"/>
    <n v="80"/>
    <x v="7"/>
    <x v="5"/>
    <n v="1680"/>
  </r>
  <r>
    <x v="10"/>
    <x v="2"/>
    <x v="2"/>
    <n v="5"/>
    <n v="230"/>
    <x v="6"/>
    <x v="6"/>
    <n v="1150"/>
  </r>
  <r>
    <x v="10"/>
    <x v="1"/>
    <x v="4"/>
    <n v="16"/>
    <n v="40"/>
    <x v="7"/>
    <x v="7"/>
    <n v="640"/>
  </r>
  <r>
    <x v="10"/>
    <x v="4"/>
    <x v="1"/>
    <n v="15"/>
    <n v="150"/>
    <x v="11"/>
    <x v="8"/>
    <n v="2250"/>
  </r>
  <r>
    <x v="10"/>
    <x v="3"/>
    <x v="4"/>
    <n v="23"/>
    <n v="16"/>
    <x v="0"/>
    <x v="9"/>
    <n v="368"/>
  </r>
  <r>
    <x v="10"/>
    <x v="3"/>
    <x v="1"/>
    <n v="22"/>
    <n v="16"/>
    <x v="10"/>
    <x v="10"/>
    <n v="352"/>
  </r>
  <r>
    <x v="10"/>
    <x v="0"/>
    <x v="0"/>
    <n v="20"/>
    <n v="80"/>
    <x v="0"/>
    <x v="11"/>
    <n v="1600"/>
  </r>
  <r>
    <x v="10"/>
    <x v="1"/>
    <x v="3"/>
    <n v="6"/>
    <n v="40"/>
    <x v="8"/>
    <x v="0"/>
    <n v="240"/>
  </r>
  <r>
    <x v="11"/>
    <x v="4"/>
    <x v="1"/>
    <n v="10"/>
    <n v="150"/>
    <x v="0"/>
    <x v="1"/>
    <n v="1500"/>
  </r>
  <r>
    <x v="11"/>
    <x v="0"/>
    <x v="3"/>
    <n v="17"/>
    <n v="80"/>
    <x v="1"/>
    <x v="2"/>
    <n v="1360"/>
  </r>
  <r>
    <x v="11"/>
    <x v="4"/>
    <x v="0"/>
    <n v="13"/>
    <n v="150"/>
    <x v="1"/>
    <x v="3"/>
    <n v="1950"/>
  </r>
  <r>
    <x v="11"/>
    <x v="2"/>
    <x v="3"/>
    <n v="8"/>
    <n v="230"/>
    <x v="1"/>
    <x v="4"/>
    <n v="1840"/>
  </r>
  <r>
    <x v="11"/>
    <x v="3"/>
    <x v="0"/>
    <n v="10"/>
    <n v="16"/>
    <x v="5"/>
    <x v="5"/>
    <n v="160"/>
  </r>
  <r>
    <x v="11"/>
    <x v="1"/>
    <x v="1"/>
    <n v="4"/>
    <n v="40"/>
    <x v="9"/>
    <x v="1"/>
    <n v="160"/>
  </r>
  <r>
    <x v="11"/>
    <x v="1"/>
    <x v="4"/>
    <n v="18"/>
    <n v="40"/>
    <x v="9"/>
    <x v="2"/>
    <n v="720"/>
  </r>
  <r>
    <x v="11"/>
    <x v="4"/>
    <x v="3"/>
    <n v="15"/>
    <n v="150"/>
    <x v="1"/>
    <x v="3"/>
    <n v="2250"/>
  </r>
  <r>
    <x v="11"/>
    <x v="4"/>
    <x v="3"/>
    <n v="3"/>
    <n v="150"/>
    <x v="0"/>
    <x v="4"/>
    <n v="450"/>
  </r>
  <r>
    <x v="11"/>
    <x v="3"/>
    <x v="0"/>
    <n v="12"/>
    <n v="16"/>
    <x v="2"/>
    <x v="5"/>
    <n v="192"/>
  </r>
  <r>
    <x v="12"/>
    <x v="0"/>
    <x v="4"/>
    <n v="17"/>
    <n v="80"/>
    <x v="8"/>
    <x v="6"/>
    <n v="1360"/>
  </r>
  <r>
    <x v="12"/>
    <x v="2"/>
    <x v="0"/>
    <n v="3"/>
    <n v="230"/>
    <x v="9"/>
    <x v="7"/>
    <n v="690"/>
  </r>
  <r>
    <x v="12"/>
    <x v="0"/>
    <x v="2"/>
    <n v="20"/>
    <n v="80"/>
    <x v="8"/>
    <x v="8"/>
    <n v="1600"/>
  </r>
  <r>
    <x v="12"/>
    <x v="2"/>
    <x v="1"/>
    <n v="14"/>
    <n v="230"/>
    <x v="1"/>
    <x v="9"/>
    <n v="3220"/>
  </r>
  <r>
    <x v="12"/>
    <x v="1"/>
    <x v="4"/>
    <n v="16"/>
    <n v="40"/>
    <x v="7"/>
    <x v="10"/>
    <n v="640"/>
  </r>
  <r>
    <x v="12"/>
    <x v="3"/>
    <x v="1"/>
    <n v="7"/>
    <n v="16"/>
    <x v="5"/>
    <x v="11"/>
    <n v="112"/>
  </r>
  <r>
    <x v="12"/>
    <x v="1"/>
    <x v="1"/>
    <n v="19"/>
    <n v="40"/>
    <x v="6"/>
    <x v="0"/>
    <n v="760"/>
  </r>
  <r>
    <x v="12"/>
    <x v="2"/>
    <x v="3"/>
    <n v="7"/>
    <n v="230"/>
    <x v="9"/>
    <x v="1"/>
    <n v="1610"/>
  </r>
  <r>
    <x v="12"/>
    <x v="1"/>
    <x v="4"/>
    <n v="20"/>
    <n v="40"/>
    <x v="3"/>
    <x v="2"/>
    <n v="800"/>
  </r>
  <r>
    <x v="12"/>
    <x v="3"/>
    <x v="2"/>
    <n v="11"/>
    <n v="16"/>
    <x v="11"/>
    <x v="3"/>
    <n v="176"/>
  </r>
  <r>
    <x v="12"/>
    <x v="0"/>
    <x v="4"/>
    <n v="16"/>
    <n v="80"/>
    <x v="7"/>
    <x v="4"/>
    <n v="1280"/>
  </r>
  <r>
    <x v="12"/>
    <x v="3"/>
    <x v="0"/>
    <n v="21"/>
    <n v="16"/>
    <x v="7"/>
    <x v="5"/>
    <n v="336"/>
  </r>
  <r>
    <x v="12"/>
    <x v="3"/>
    <x v="0"/>
    <n v="22"/>
    <n v="16"/>
    <x v="0"/>
    <x v="1"/>
    <n v="352"/>
  </r>
  <r>
    <x v="12"/>
    <x v="2"/>
    <x v="3"/>
    <n v="23"/>
    <n v="230"/>
    <x v="9"/>
    <x v="2"/>
    <n v="5290"/>
  </r>
  <r>
    <x v="12"/>
    <x v="4"/>
    <x v="0"/>
    <n v="9"/>
    <n v="150"/>
    <x v="6"/>
    <x v="3"/>
    <n v="1350"/>
  </r>
  <r>
    <x v="12"/>
    <x v="4"/>
    <x v="2"/>
    <n v="9"/>
    <n v="150"/>
    <x v="9"/>
    <x v="4"/>
    <n v="1350"/>
  </r>
  <r>
    <x v="13"/>
    <x v="2"/>
    <x v="0"/>
    <n v="9"/>
    <n v="230"/>
    <x v="8"/>
    <x v="5"/>
    <n v="2070"/>
  </r>
  <r>
    <x v="13"/>
    <x v="0"/>
    <x v="2"/>
    <n v="10"/>
    <n v="80"/>
    <x v="5"/>
    <x v="6"/>
    <n v="800"/>
  </r>
  <r>
    <x v="13"/>
    <x v="3"/>
    <x v="2"/>
    <n v="23"/>
    <n v="16"/>
    <x v="2"/>
    <x v="7"/>
    <n v="368"/>
  </r>
  <r>
    <x v="13"/>
    <x v="0"/>
    <x v="3"/>
    <n v="22"/>
    <n v="80"/>
    <x v="3"/>
    <x v="8"/>
    <n v="1760"/>
  </r>
  <r>
    <x v="13"/>
    <x v="0"/>
    <x v="3"/>
    <n v="4"/>
    <n v="80"/>
    <x v="2"/>
    <x v="9"/>
    <n v="320"/>
  </r>
  <r>
    <x v="13"/>
    <x v="3"/>
    <x v="0"/>
    <n v="22"/>
    <n v="16"/>
    <x v="9"/>
    <x v="10"/>
    <n v="352"/>
  </r>
  <r>
    <x v="13"/>
    <x v="1"/>
    <x v="1"/>
    <n v="15"/>
    <n v="40"/>
    <x v="4"/>
    <x v="11"/>
    <n v="600"/>
  </r>
  <r>
    <x v="13"/>
    <x v="1"/>
    <x v="4"/>
    <n v="7"/>
    <n v="40"/>
    <x v="10"/>
    <x v="0"/>
    <n v="280"/>
  </r>
  <r>
    <x v="13"/>
    <x v="3"/>
    <x v="4"/>
    <n v="2"/>
    <n v="16"/>
    <x v="10"/>
    <x v="1"/>
    <n v="32"/>
  </r>
  <r>
    <x v="13"/>
    <x v="0"/>
    <x v="3"/>
    <n v="7"/>
    <n v="80"/>
    <x v="4"/>
    <x v="2"/>
    <n v="560"/>
  </r>
  <r>
    <x v="14"/>
    <x v="3"/>
    <x v="4"/>
    <n v="22"/>
    <n v="16"/>
    <x v="11"/>
    <x v="3"/>
    <n v="352"/>
  </r>
  <r>
    <x v="14"/>
    <x v="1"/>
    <x v="1"/>
    <n v="21"/>
    <n v="40"/>
    <x v="3"/>
    <x v="4"/>
    <n v="840"/>
  </r>
  <r>
    <x v="14"/>
    <x v="0"/>
    <x v="0"/>
    <n v="6"/>
    <n v="80"/>
    <x v="0"/>
    <x v="5"/>
    <n v="480"/>
  </r>
  <r>
    <x v="14"/>
    <x v="0"/>
    <x v="4"/>
    <n v="13"/>
    <n v="80"/>
    <x v="1"/>
    <x v="1"/>
    <n v="1040"/>
  </r>
  <r>
    <x v="14"/>
    <x v="0"/>
    <x v="3"/>
    <n v="11"/>
    <n v="80"/>
    <x v="0"/>
    <x v="2"/>
    <n v="880"/>
  </r>
  <r>
    <x v="14"/>
    <x v="1"/>
    <x v="0"/>
    <n v="18"/>
    <n v="40"/>
    <x v="9"/>
    <x v="3"/>
    <n v="720"/>
  </r>
  <r>
    <x v="14"/>
    <x v="4"/>
    <x v="3"/>
    <n v="7"/>
    <n v="150"/>
    <x v="1"/>
    <x v="4"/>
    <n v="1050"/>
  </r>
  <r>
    <x v="14"/>
    <x v="1"/>
    <x v="0"/>
    <n v="2"/>
    <n v="40"/>
    <x v="11"/>
    <x v="5"/>
    <n v="80"/>
  </r>
  <r>
    <x v="14"/>
    <x v="0"/>
    <x v="1"/>
    <n v="14"/>
    <n v="80"/>
    <x v="9"/>
    <x v="6"/>
    <n v="1120"/>
  </r>
  <r>
    <x v="14"/>
    <x v="4"/>
    <x v="4"/>
    <n v="7"/>
    <n v="150"/>
    <x v="3"/>
    <x v="7"/>
    <n v="1050"/>
  </r>
  <r>
    <x v="14"/>
    <x v="3"/>
    <x v="3"/>
    <n v="10"/>
    <n v="16"/>
    <x v="0"/>
    <x v="8"/>
    <n v="160"/>
  </r>
  <r>
    <x v="15"/>
    <x v="1"/>
    <x v="1"/>
    <n v="7"/>
    <n v="40"/>
    <x v="0"/>
    <x v="9"/>
    <n v="280"/>
  </r>
  <r>
    <x v="15"/>
    <x v="3"/>
    <x v="3"/>
    <n v="7"/>
    <n v="16"/>
    <x v="5"/>
    <x v="10"/>
    <n v="112"/>
  </r>
  <r>
    <x v="15"/>
    <x v="4"/>
    <x v="2"/>
    <n v="15"/>
    <n v="150"/>
    <x v="1"/>
    <x v="11"/>
    <n v="2250"/>
  </r>
  <r>
    <x v="15"/>
    <x v="0"/>
    <x v="0"/>
    <n v="7"/>
    <n v="80"/>
    <x v="4"/>
    <x v="0"/>
    <n v="560"/>
  </r>
  <r>
    <x v="15"/>
    <x v="1"/>
    <x v="2"/>
    <n v="6"/>
    <n v="40"/>
    <x v="9"/>
    <x v="1"/>
    <n v="240"/>
  </r>
  <r>
    <x v="15"/>
    <x v="2"/>
    <x v="0"/>
    <n v="3"/>
    <n v="230"/>
    <x v="9"/>
    <x v="2"/>
    <n v="690"/>
  </r>
  <r>
    <x v="15"/>
    <x v="4"/>
    <x v="2"/>
    <n v="20"/>
    <n v="150"/>
    <x v="10"/>
    <x v="3"/>
    <n v="3000"/>
  </r>
  <r>
    <x v="15"/>
    <x v="2"/>
    <x v="2"/>
    <n v="20"/>
    <n v="230"/>
    <x v="9"/>
    <x v="4"/>
    <n v="4600"/>
  </r>
  <r>
    <x v="15"/>
    <x v="3"/>
    <x v="2"/>
    <n v="14"/>
    <n v="16"/>
    <x v="0"/>
    <x v="5"/>
    <n v="224"/>
  </r>
  <r>
    <x v="15"/>
    <x v="4"/>
    <x v="2"/>
    <n v="20"/>
    <n v="150"/>
    <x v="10"/>
    <x v="1"/>
    <n v="3000"/>
  </r>
  <r>
    <x v="15"/>
    <x v="0"/>
    <x v="0"/>
    <n v="17"/>
    <n v="80"/>
    <x v="7"/>
    <x v="2"/>
    <n v="1360"/>
  </r>
  <r>
    <x v="16"/>
    <x v="4"/>
    <x v="2"/>
    <n v="20"/>
    <n v="150"/>
    <x v="11"/>
    <x v="3"/>
    <n v="3000"/>
  </r>
  <r>
    <x v="16"/>
    <x v="3"/>
    <x v="2"/>
    <n v="11"/>
    <n v="16"/>
    <x v="10"/>
    <x v="4"/>
    <n v="176"/>
  </r>
  <r>
    <x v="16"/>
    <x v="2"/>
    <x v="4"/>
    <n v="7"/>
    <n v="230"/>
    <x v="1"/>
    <x v="5"/>
    <n v="1610"/>
  </r>
  <r>
    <x v="16"/>
    <x v="1"/>
    <x v="1"/>
    <n v="14"/>
    <n v="40"/>
    <x v="9"/>
    <x v="6"/>
    <n v="560"/>
  </r>
  <r>
    <x v="16"/>
    <x v="0"/>
    <x v="1"/>
    <n v="13"/>
    <n v="80"/>
    <x v="9"/>
    <x v="7"/>
    <n v="1040"/>
  </r>
  <r>
    <x v="16"/>
    <x v="3"/>
    <x v="2"/>
    <n v="17"/>
    <n v="16"/>
    <x v="1"/>
    <x v="8"/>
    <n v="272"/>
  </r>
  <r>
    <x v="16"/>
    <x v="2"/>
    <x v="2"/>
    <n v="12"/>
    <n v="230"/>
    <x v="3"/>
    <x v="9"/>
    <n v="2760"/>
  </r>
  <r>
    <x v="16"/>
    <x v="1"/>
    <x v="1"/>
    <n v="4"/>
    <n v="40"/>
    <x v="11"/>
    <x v="10"/>
    <n v="160"/>
  </r>
  <r>
    <x v="16"/>
    <x v="3"/>
    <x v="0"/>
    <n v="20"/>
    <n v="16"/>
    <x v="0"/>
    <x v="11"/>
    <n v="320"/>
  </r>
  <r>
    <x v="16"/>
    <x v="0"/>
    <x v="3"/>
    <n v="8"/>
    <n v="80"/>
    <x v="9"/>
    <x v="0"/>
    <n v="640"/>
  </r>
  <r>
    <x v="16"/>
    <x v="0"/>
    <x v="0"/>
    <n v="18"/>
    <n v="80"/>
    <x v="4"/>
    <x v="1"/>
    <n v="1440"/>
  </r>
  <r>
    <x v="16"/>
    <x v="3"/>
    <x v="2"/>
    <n v="6"/>
    <n v="16"/>
    <x v="9"/>
    <x v="2"/>
    <n v="96"/>
  </r>
  <r>
    <x v="16"/>
    <x v="0"/>
    <x v="0"/>
    <n v="9"/>
    <n v="80"/>
    <x v="10"/>
    <x v="3"/>
    <n v="720"/>
  </r>
  <r>
    <x v="17"/>
    <x v="0"/>
    <x v="2"/>
    <n v="8"/>
    <n v="80"/>
    <x v="4"/>
    <x v="4"/>
    <n v="640"/>
  </r>
  <r>
    <x v="17"/>
    <x v="4"/>
    <x v="3"/>
    <n v="6"/>
    <n v="150"/>
    <x v="3"/>
    <x v="5"/>
    <n v="900"/>
  </r>
  <r>
    <x v="17"/>
    <x v="3"/>
    <x v="3"/>
    <n v="14"/>
    <n v="16"/>
    <x v="11"/>
    <x v="1"/>
    <n v="224"/>
  </r>
  <r>
    <x v="17"/>
    <x v="0"/>
    <x v="2"/>
    <n v="6"/>
    <n v="80"/>
    <x v="7"/>
    <x v="2"/>
    <n v="480"/>
  </r>
  <r>
    <x v="17"/>
    <x v="1"/>
    <x v="4"/>
    <n v="23"/>
    <n v="40"/>
    <x v="10"/>
    <x v="3"/>
    <n v="920"/>
  </r>
  <r>
    <x v="17"/>
    <x v="1"/>
    <x v="2"/>
    <n v="12"/>
    <n v="40"/>
    <x v="4"/>
    <x v="4"/>
    <n v="480"/>
  </r>
  <r>
    <x v="17"/>
    <x v="1"/>
    <x v="3"/>
    <n v="22"/>
    <n v="40"/>
    <x v="0"/>
    <x v="5"/>
    <n v="880"/>
  </r>
  <r>
    <x v="17"/>
    <x v="4"/>
    <x v="3"/>
    <n v="6"/>
    <n v="150"/>
    <x v="3"/>
    <x v="6"/>
    <n v="900"/>
  </r>
  <r>
    <x v="17"/>
    <x v="3"/>
    <x v="4"/>
    <n v="19"/>
    <n v="16"/>
    <x v="4"/>
    <x v="7"/>
    <n v="304"/>
  </r>
  <r>
    <x v="17"/>
    <x v="1"/>
    <x v="2"/>
    <n v="2"/>
    <n v="40"/>
    <x v="4"/>
    <x v="8"/>
    <n v="80"/>
  </r>
  <r>
    <x v="18"/>
    <x v="1"/>
    <x v="3"/>
    <n v="22"/>
    <n v="40"/>
    <x v="0"/>
    <x v="9"/>
    <n v="880"/>
  </r>
  <r>
    <x v="18"/>
    <x v="2"/>
    <x v="3"/>
    <n v="3"/>
    <n v="230"/>
    <x v="0"/>
    <x v="10"/>
    <n v="690"/>
  </r>
  <r>
    <x v="18"/>
    <x v="1"/>
    <x v="3"/>
    <n v="23"/>
    <n v="40"/>
    <x v="9"/>
    <x v="11"/>
    <n v="920"/>
  </r>
  <r>
    <x v="18"/>
    <x v="1"/>
    <x v="4"/>
    <n v="5"/>
    <n v="40"/>
    <x v="3"/>
    <x v="0"/>
    <n v="200"/>
  </r>
  <r>
    <x v="18"/>
    <x v="0"/>
    <x v="0"/>
    <n v="8"/>
    <n v="80"/>
    <x v="5"/>
    <x v="1"/>
    <n v="640"/>
  </r>
  <r>
    <x v="18"/>
    <x v="1"/>
    <x v="2"/>
    <n v="18"/>
    <n v="40"/>
    <x v="3"/>
    <x v="2"/>
    <n v="720"/>
  </r>
  <r>
    <x v="18"/>
    <x v="1"/>
    <x v="4"/>
    <n v="20"/>
    <n v="40"/>
    <x v="6"/>
    <x v="3"/>
    <n v="800"/>
  </r>
  <r>
    <x v="18"/>
    <x v="1"/>
    <x v="2"/>
    <n v="2"/>
    <n v="40"/>
    <x v="3"/>
    <x v="4"/>
    <n v="80"/>
  </r>
  <r>
    <x v="18"/>
    <x v="2"/>
    <x v="0"/>
    <n v="15"/>
    <n v="230"/>
    <x v="1"/>
    <x v="5"/>
    <n v="3450"/>
  </r>
  <r>
    <x v="18"/>
    <x v="4"/>
    <x v="3"/>
    <n v="15"/>
    <n v="150"/>
    <x v="5"/>
    <x v="1"/>
    <n v="2250"/>
  </r>
  <r>
    <x v="18"/>
    <x v="4"/>
    <x v="3"/>
    <n v="22"/>
    <n v="150"/>
    <x v="1"/>
    <x v="2"/>
    <n v="3300"/>
  </r>
  <r>
    <x v="18"/>
    <x v="2"/>
    <x v="1"/>
    <n v="19"/>
    <n v="230"/>
    <x v="2"/>
    <x v="3"/>
    <n v="4370"/>
  </r>
  <r>
    <x v="18"/>
    <x v="0"/>
    <x v="1"/>
    <n v="10"/>
    <n v="80"/>
    <x v="2"/>
    <x v="4"/>
    <n v="800"/>
  </r>
  <r>
    <x v="18"/>
    <x v="1"/>
    <x v="3"/>
    <n v="18"/>
    <n v="40"/>
    <x v="9"/>
    <x v="5"/>
    <n v="720"/>
  </r>
  <r>
    <x v="18"/>
    <x v="0"/>
    <x v="3"/>
    <n v="16"/>
    <n v="80"/>
    <x v="1"/>
    <x v="6"/>
    <n v="1280"/>
  </r>
  <r>
    <x v="18"/>
    <x v="4"/>
    <x v="4"/>
    <n v="17"/>
    <n v="150"/>
    <x v="4"/>
    <x v="7"/>
    <n v="2550"/>
  </r>
  <r>
    <x v="19"/>
    <x v="2"/>
    <x v="0"/>
    <n v="8"/>
    <n v="230"/>
    <x v="3"/>
    <x v="8"/>
    <n v="1840"/>
  </r>
  <r>
    <x v="19"/>
    <x v="0"/>
    <x v="3"/>
    <n v="11"/>
    <n v="80"/>
    <x v="0"/>
    <x v="9"/>
    <n v="880"/>
  </r>
  <r>
    <x v="19"/>
    <x v="1"/>
    <x v="0"/>
    <n v="5"/>
    <n v="40"/>
    <x v="9"/>
    <x v="10"/>
    <n v="200"/>
  </r>
  <r>
    <x v="19"/>
    <x v="1"/>
    <x v="4"/>
    <n v="11"/>
    <n v="40"/>
    <x v="1"/>
    <x v="11"/>
    <n v="440"/>
  </r>
  <r>
    <x v="19"/>
    <x v="4"/>
    <x v="3"/>
    <n v="20"/>
    <n v="150"/>
    <x v="6"/>
    <x v="0"/>
    <n v="3000"/>
  </r>
  <r>
    <x v="19"/>
    <x v="4"/>
    <x v="2"/>
    <n v="11"/>
    <n v="150"/>
    <x v="2"/>
    <x v="1"/>
    <n v="1650"/>
  </r>
  <r>
    <x v="19"/>
    <x v="0"/>
    <x v="3"/>
    <n v="2"/>
    <n v="80"/>
    <x v="5"/>
    <x v="2"/>
    <n v="160"/>
  </r>
  <r>
    <x v="19"/>
    <x v="4"/>
    <x v="1"/>
    <n v="16"/>
    <n v="150"/>
    <x v="5"/>
    <x v="3"/>
    <n v="2400"/>
  </r>
  <r>
    <x v="19"/>
    <x v="3"/>
    <x v="0"/>
    <n v="20"/>
    <n v="16"/>
    <x v="2"/>
    <x v="4"/>
    <n v="320"/>
  </r>
  <r>
    <x v="19"/>
    <x v="2"/>
    <x v="2"/>
    <n v="2"/>
    <n v="230"/>
    <x v="7"/>
    <x v="5"/>
    <n v="460"/>
  </r>
  <r>
    <x v="19"/>
    <x v="4"/>
    <x v="0"/>
    <n v="20"/>
    <n v="150"/>
    <x v="10"/>
    <x v="1"/>
    <n v="3000"/>
  </r>
  <r>
    <x v="19"/>
    <x v="4"/>
    <x v="0"/>
    <n v="22"/>
    <n v="150"/>
    <x v="8"/>
    <x v="2"/>
    <n v="3300"/>
  </r>
  <r>
    <x v="19"/>
    <x v="4"/>
    <x v="2"/>
    <n v="22"/>
    <n v="150"/>
    <x v="10"/>
    <x v="3"/>
    <n v="3300"/>
  </r>
  <r>
    <x v="19"/>
    <x v="1"/>
    <x v="0"/>
    <n v="23"/>
    <n v="40"/>
    <x v="8"/>
    <x v="4"/>
    <n v="920"/>
  </r>
  <r>
    <x v="20"/>
    <x v="3"/>
    <x v="2"/>
    <n v="11"/>
    <n v="16"/>
    <x v="10"/>
    <x v="5"/>
    <n v="176"/>
  </r>
  <r>
    <x v="20"/>
    <x v="2"/>
    <x v="1"/>
    <n v="11"/>
    <n v="230"/>
    <x v="6"/>
    <x v="6"/>
    <n v="2530"/>
  </r>
  <r>
    <x v="20"/>
    <x v="2"/>
    <x v="0"/>
    <n v="7"/>
    <n v="230"/>
    <x v="5"/>
    <x v="7"/>
    <n v="1610"/>
  </r>
  <r>
    <x v="20"/>
    <x v="4"/>
    <x v="1"/>
    <n v="13"/>
    <n v="150"/>
    <x v="5"/>
    <x v="8"/>
    <n v="1950"/>
  </r>
  <r>
    <x v="20"/>
    <x v="2"/>
    <x v="3"/>
    <n v="16"/>
    <n v="230"/>
    <x v="2"/>
    <x v="9"/>
    <n v="3680"/>
  </r>
  <r>
    <x v="20"/>
    <x v="2"/>
    <x v="4"/>
    <n v="20"/>
    <n v="230"/>
    <x v="7"/>
    <x v="10"/>
    <n v="4600"/>
  </r>
  <r>
    <x v="20"/>
    <x v="1"/>
    <x v="2"/>
    <n v="20"/>
    <n v="40"/>
    <x v="0"/>
    <x v="11"/>
    <n v="800"/>
  </r>
  <r>
    <x v="20"/>
    <x v="0"/>
    <x v="0"/>
    <n v="20"/>
    <n v="80"/>
    <x v="0"/>
    <x v="0"/>
    <n v="1600"/>
  </r>
  <r>
    <x v="20"/>
    <x v="4"/>
    <x v="0"/>
    <n v="5"/>
    <n v="150"/>
    <x v="2"/>
    <x v="1"/>
    <n v="750"/>
  </r>
  <r>
    <x v="21"/>
    <x v="1"/>
    <x v="2"/>
    <n v="4"/>
    <n v="40"/>
    <x v="2"/>
    <x v="2"/>
    <n v="160"/>
  </r>
  <r>
    <x v="21"/>
    <x v="3"/>
    <x v="0"/>
    <n v="7"/>
    <n v="16"/>
    <x v="11"/>
    <x v="3"/>
    <n v="112"/>
  </r>
  <r>
    <x v="21"/>
    <x v="3"/>
    <x v="1"/>
    <n v="22"/>
    <n v="16"/>
    <x v="0"/>
    <x v="4"/>
    <n v="352"/>
  </r>
  <r>
    <x v="21"/>
    <x v="1"/>
    <x v="3"/>
    <n v="15"/>
    <n v="40"/>
    <x v="3"/>
    <x v="5"/>
    <n v="600"/>
  </r>
  <r>
    <x v="21"/>
    <x v="0"/>
    <x v="1"/>
    <n v="14"/>
    <n v="80"/>
    <x v="2"/>
    <x v="1"/>
    <n v="1120"/>
  </r>
  <r>
    <x v="21"/>
    <x v="3"/>
    <x v="1"/>
    <n v="15"/>
    <n v="16"/>
    <x v="4"/>
    <x v="2"/>
    <n v="240"/>
  </r>
  <r>
    <x v="22"/>
    <x v="0"/>
    <x v="3"/>
    <n v="19"/>
    <n v="80"/>
    <x v="4"/>
    <x v="3"/>
    <n v="1520"/>
  </r>
  <r>
    <x v="22"/>
    <x v="1"/>
    <x v="4"/>
    <n v="20"/>
    <n v="40"/>
    <x v="1"/>
    <x v="4"/>
    <n v="800"/>
  </r>
  <r>
    <x v="22"/>
    <x v="1"/>
    <x v="3"/>
    <n v="11"/>
    <n v="40"/>
    <x v="9"/>
    <x v="5"/>
    <n v="440"/>
  </r>
  <r>
    <x v="22"/>
    <x v="4"/>
    <x v="2"/>
    <n v="11"/>
    <n v="150"/>
    <x v="1"/>
    <x v="6"/>
    <n v="1650"/>
  </r>
  <r>
    <x v="22"/>
    <x v="0"/>
    <x v="3"/>
    <n v="23"/>
    <n v="80"/>
    <x v="2"/>
    <x v="7"/>
    <n v="1840"/>
  </r>
  <r>
    <x v="22"/>
    <x v="0"/>
    <x v="0"/>
    <n v="8"/>
    <n v="80"/>
    <x v="7"/>
    <x v="8"/>
    <n v="640"/>
  </r>
  <r>
    <x v="22"/>
    <x v="1"/>
    <x v="3"/>
    <n v="9"/>
    <n v="40"/>
    <x v="9"/>
    <x v="9"/>
    <n v="360"/>
  </r>
  <r>
    <x v="22"/>
    <x v="2"/>
    <x v="4"/>
    <n v="13"/>
    <n v="230"/>
    <x v="9"/>
    <x v="10"/>
    <n v="2990"/>
  </r>
  <r>
    <x v="22"/>
    <x v="1"/>
    <x v="3"/>
    <n v="22"/>
    <n v="40"/>
    <x v="0"/>
    <x v="11"/>
    <n v="880"/>
  </r>
  <r>
    <x v="22"/>
    <x v="3"/>
    <x v="4"/>
    <n v="14"/>
    <n v="16"/>
    <x v="9"/>
    <x v="0"/>
    <n v="224"/>
  </r>
  <r>
    <x v="23"/>
    <x v="0"/>
    <x v="1"/>
    <n v="5"/>
    <n v="80"/>
    <x v="10"/>
    <x v="1"/>
    <n v="400"/>
  </r>
  <r>
    <x v="23"/>
    <x v="4"/>
    <x v="4"/>
    <n v="18"/>
    <n v="150"/>
    <x v="11"/>
    <x v="2"/>
    <n v="2700"/>
  </r>
  <r>
    <x v="23"/>
    <x v="2"/>
    <x v="2"/>
    <n v="14"/>
    <n v="230"/>
    <x v="11"/>
    <x v="3"/>
    <n v="3220"/>
  </r>
  <r>
    <x v="23"/>
    <x v="2"/>
    <x v="4"/>
    <n v="20"/>
    <n v="230"/>
    <x v="2"/>
    <x v="4"/>
    <n v="4600"/>
  </r>
  <r>
    <x v="23"/>
    <x v="3"/>
    <x v="4"/>
    <n v="3"/>
    <n v="16"/>
    <x v="3"/>
    <x v="5"/>
    <n v="48"/>
  </r>
  <r>
    <x v="23"/>
    <x v="2"/>
    <x v="2"/>
    <n v="20"/>
    <n v="230"/>
    <x v="9"/>
    <x v="1"/>
    <n v="4600"/>
  </r>
  <r>
    <x v="23"/>
    <x v="0"/>
    <x v="4"/>
    <n v="9"/>
    <n v="80"/>
    <x v="4"/>
    <x v="2"/>
    <n v="720"/>
  </r>
  <r>
    <x v="23"/>
    <x v="3"/>
    <x v="3"/>
    <n v="22"/>
    <n v="16"/>
    <x v="3"/>
    <x v="3"/>
    <n v="352"/>
  </r>
  <r>
    <x v="23"/>
    <x v="0"/>
    <x v="1"/>
    <n v="15"/>
    <n v="80"/>
    <x v="11"/>
    <x v="4"/>
    <n v="1200"/>
  </r>
  <r>
    <x v="23"/>
    <x v="4"/>
    <x v="0"/>
    <n v="11"/>
    <n v="150"/>
    <x v="1"/>
    <x v="5"/>
    <n v="1650"/>
  </r>
  <r>
    <x v="23"/>
    <x v="2"/>
    <x v="3"/>
    <n v="11"/>
    <n v="230"/>
    <x v="11"/>
    <x v="6"/>
    <n v="2530"/>
  </r>
  <r>
    <x v="23"/>
    <x v="4"/>
    <x v="0"/>
    <n v="20"/>
    <n v="150"/>
    <x v="0"/>
    <x v="7"/>
    <n v="3000"/>
  </r>
  <r>
    <x v="23"/>
    <x v="1"/>
    <x v="2"/>
    <n v="11"/>
    <n v="40"/>
    <x v="11"/>
    <x v="8"/>
    <n v="440"/>
  </r>
  <r>
    <x v="24"/>
    <x v="2"/>
    <x v="2"/>
    <n v="12"/>
    <n v="230"/>
    <x v="9"/>
    <x v="9"/>
    <n v="2760"/>
  </r>
  <r>
    <x v="24"/>
    <x v="1"/>
    <x v="0"/>
    <n v="15"/>
    <n v="40"/>
    <x v="9"/>
    <x v="10"/>
    <n v="600"/>
  </r>
  <r>
    <x v="24"/>
    <x v="1"/>
    <x v="3"/>
    <n v="13"/>
    <n v="40"/>
    <x v="7"/>
    <x v="11"/>
    <n v="520"/>
  </r>
  <r>
    <x v="24"/>
    <x v="1"/>
    <x v="4"/>
    <n v="4"/>
    <n v="40"/>
    <x v="7"/>
    <x v="0"/>
    <n v="160"/>
  </r>
  <r>
    <x v="24"/>
    <x v="2"/>
    <x v="3"/>
    <n v="18"/>
    <n v="230"/>
    <x v="0"/>
    <x v="1"/>
    <n v="4140"/>
  </r>
  <r>
    <x v="24"/>
    <x v="3"/>
    <x v="0"/>
    <n v="7"/>
    <n v="16"/>
    <x v="4"/>
    <x v="2"/>
    <n v="112"/>
  </r>
  <r>
    <x v="24"/>
    <x v="3"/>
    <x v="2"/>
    <n v="6"/>
    <n v="16"/>
    <x v="8"/>
    <x v="3"/>
    <n v="96"/>
  </r>
  <r>
    <x v="24"/>
    <x v="2"/>
    <x v="3"/>
    <n v="8"/>
    <n v="230"/>
    <x v="1"/>
    <x v="4"/>
    <n v="1840"/>
  </r>
  <r>
    <x v="24"/>
    <x v="3"/>
    <x v="2"/>
    <n v="12"/>
    <n v="16"/>
    <x v="2"/>
    <x v="5"/>
    <n v="192"/>
  </r>
  <r>
    <x v="24"/>
    <x v="2"/>
    <x v="0"/>
    <n v="11"/>
    <n v="230"/>
    <x v="4"/>
    <x v="1"/>
    <n v="2530"/>
  </r>
  <r>
    <x v="24"/>
    <x v="3"/>
    <x v="2"/>
    <n v="3"/>
    <n v="16"/>
    <x v="1"/>
    <x v="2"/>
    <n v="48"/>
  </r>
  <r>
    <x v="25"/>
    <x v="4"/>
    <x v="1"/>
    <n v="16"/>
    <n v="150"/>
    <x v="1"/>
    <x v="3"/>
    <n v="2400"/>
  </r>
  <r>
    <x v="25"/>
    <x v="2"/>
    <x v="3"/>
    <n v="8"/>
    <n v="230"/>
    <x v="0"/>
    <x v="4"/>
    <n v="1840"/>
  </r>
  <r>
    <x v="25"/>
    <x v="0"/>
    <x v="2"/>
    <n v="16"/>
    <n v="80"/>
    <x v="10"/>
    <x v="5"/>
    <n v="1280"/>
  </r>
  <r>
    <x v="25"/>
    <x v="3"/>
    <x v="3"/>
    <n v="18"/>
    <n v="16"/>
    <x v="10"/>
    <x v="6"/>
    <n v="288"/>
  </r>
  <r>
    <x v="25"/>
    <x v="1"/>
    <x v="4"/>
    <n v="14"/>
    <n v="40"/>
    <x v="2"/>
    <x v="7"/>
    <n v="560"/>
  </r>
  <r>
    <x v="25"/>
    <x v="3"/>
    <x v="1"/>
    <n v="21"/>
    <n v="16"/>
    <x v="4"/>
    <x v="8"/>
    <n v="336"/>
  </r>
  <r>
    <x v="25"/>
    <x v="3"/>
    <x v="1"/>
    <n v="7"/>
    <n v="16"/>
    <x v="5"/>
    <x v="9"/>
    <n v="112"/>
  </r>
  <r>
    <x v="25"/>
    <x v="0"/>
    <x v="2"/>
    <n v="7"/>
    <n v="80"/>
    <x v="1"/>
    <x v="10"/>
    <n v="560"/>
  </r>
  <r>
    <x v="25"/>
    <x v="1"/>
    <x v="4"/>
    <n v="16"/>
    <n v="40"/>
    <x v="7"/>
    <x v="11"/>
    <n v="640"/>
  </r>
  <r>
    <x v="25"/>
    <x v="2"/>
    <x v="4"/>
    <n v="22"/>
    <n v="230"/>
    <x v="6"/>
    <x v="0"/>
    <n v="5060"/>
  </r>
  <r>
    <x v="25"/>
    <x v="1"/>
    <x v="1"/>
    <n v="4"/>
    <n v="40"/>
    <x v="3"/>
    <x v="1"/>
    <n v="160"/>
  </r>
  <r>
    <x v="25"/>
    <x v="2"/>
    <x v="4"/>
    <n v="3"/>
    <n v="230"/>
    <x v="6"/>
    <x v="2"/>
    <n v="690"/>
  </r>
  <r>
    <x v="25"/>
    <x v="0"/>
    <x v="1"/>
    <n v="14"/>
    <n v="80"/>
    <x v="2"/>
    <x v="3"/>
    <n v="1120"/>
  </r>
  <r>
    <x v="26"/>
    <x v="1"/>
    <x v="4"/>
    <n v="21"/>
    <n v="40"/>
    <x v="0"/>
    <x v="4"/>
    <n v="840"/>
  </r>
  <r>
    <x v="26"/>
    <x v="3"/>
    <x v="1"/>
    <n v="20"/>
    <n v="16"/>
    <x v="9"/>
    <x v="5"/>
    <n v="320"/>
  </r>
  <r>
    <x v="26"/>
    <x v="0"/>
    <x v="4"/>
    <n v="22"/>
    <n v="80"/>
    <x v="2"/>
    <x v="1"/>
    <n v="1760"/>
  </r>
  <r>
    <x v="26"/>
    <x v="1"/>
    <x v="0"/>
    <n v="7"/>
    <n v="40"/>
    <x v="6"/>
    <x v="2"/>
    <n v="280"/>
  </r>
  <r>
    <x v="26"/>
    <x v="4"/>
    <x v="1"/>
    <n v="16"/>
    <n v="150"/>
    <x v="1"/>
    <x v="3"/>
    <n v="2400"/>
  </r>
  <r>
    <x v="26"/>
    <x v="2"/>
    <x v="1"/>
    <n v="7"/>
    <n v="230"/>
    <x v="1"/>
    <x v="4"/>
    <n v="1610"/>
  </r>
  <r>
    <x v="26"/>
    <x v="4"/>
    <x v="0"/>
    <n v="20"/>
    <n v="150"/>
    <x v="3"/>
    <x v="5"/>
    <n v="3000"/>
  </r>
  <r>
    <x v="26"/>
    <x v="4"/>
    <x v="1"/>
    <n v="16"/>
    <n v="150"/>
    <x v="3"/>
    <x v="6"/>
    <n v="2400"/>
  </r>
  <r>
    <x v="26"/>
    <x v="3"/>
    <x v="3"/>
    <n v="10"/>
    <n v="16"/>
    <x v="10"/>
    <x v="7"/>
    <n v="160"/>
  </r>
  <r>
    <x v="26"/>
    <x v="0"/>
    <x v="4"/>
    <n v="6"/>
    <n v="80"/>
    <x v="7"/>
    <x v="8"/>
    <n v="480"/>
  </r>
  <r>
    <x v="26"/>
    <x v="0"/>
    <x v="0"/>
    <n v="17"/>
    <n v="80"/>
    <x v="7"/>
    <x v="9"/>
    <n v="1360"/>
  </r>
  <r>
    <x v="26"/>
    <x v="1"/>
    <x v="0"/>
    <n v="19"/>
    <n v="40"/>
    <x v="10"/>
    <x v="10"/>
    <n v="760"/>
  </r>
  <r>
    <x v="26"/>
    <x v="1"/>
    <x v="4"/>
    <n v="16"/>
    <n v="40"/>
    <x v="7"/>
    <x v="11"/>
    <n v="640"/>
  </r>
  <r>
    <x v="26"/>
    <x v="3"/>
    <x v="0"/>
    <n v="4"/>
    <n v="16"/>
    <x v="11"/>
    <x v="0"/>
    <n v="64"/>
  </r>
  <r>
    <x v="26"/>
    <x v="4"/>
    <x v="3"/>
    <n v="9"/>
    <n v="150"/>
    <x v="4"/>
    <x v="1"/>
    <n v="1350"/>
  </r>
  <r>
    <x v="26"/>
    <x v="3"/>
    <x v="0"/>
    <n v="11"/>
    <n v="16"/>
    <x v="7"/>
    <x v="2"/>
    <n v="176"/>
  </r>
  <r>
    <x v="26"/>
    <x v="0"/>
    <x v="1"/>
    <n v="17"/>
    <n v="80"/>
    <x v="3"/>
    <x v="3"/>
    <n v="1360"/>
  </r>
  <r>
    <x v="27"/>
    <x v="4"/>
    <x v="0"/>
    <n v="3"/>
    <n v="150"/>
    <x v="3"/>
    <x v="4"/>
    <n v="450"/>
  </r>
  <r>
    <x v="27"/>
    <x v="2"/>
    <x v="3"/>
    <n v="2"/>
    <n v="230"/>
    <x v="5"/>
    <x v="5"/>
    <n v="460"/>
  </r>
  <r>
    <x v="27"/>
    <x v="2"/>
    <x v="3"/>
    <n v="17"/>
    <n v="230"/>
    <x v="11"/>
    <x v="1"/>
    <n v="3910"/>
  </r>
  <r>
    <x v="27"/>
    <x v="4"/>
    <x v="1"/>
    <n v="2"/>
    <n v="150"/>
    <x v="7"/>
    <x v="2"/>
    <n v="300"/>
  </r>
  <r>
    <x v="27"/>
    <x v="1"/>
    <x v="3"/>
    <n v="18"/>
    <n v="40"/>
    <x v="9"/>
    <x v="3"/>
    <n v="720"/>
  </r>
  <r>
    <x v="27"/>
    <x v="4"/>
    <x v="2"/>
    <n v="18"/>
    <n v="150"/>
    <x v="9"/>
    <x v="4"/>
    <n v="2700"/>
  </r>
  <r>
    <x v="27"/>
    <x v="1"/>
    <x v="1"/>
    <n v="12"/>
    <n v="40"/>
    <x v="6"/>
    <x v="5"/>
    <n v="480"/>
  </r>
  <r>
    <x v="27"/>
    <x v="0"/>
    <x v="0"/>
    <n v="21"/>
    <n v="80"/>
    <x v="10"/>
    <x v="6"/>
    <n v="1680"/>
  </r>
  <r>
    <x v="27"/>
    <x v="1"/>
    <x v="4"/>
    <n v="3"/>
    <n v="40"/>
    <x v="3"/>
    <x v="7"/>
    <n v="120"/>
  </r>
  <r>
    <x v="27"/>
    <x v="0"/>
    <x v="4"/>
    <n v="22"/>
    <n v="80"/>
    <x v="6"/>
    <x v="8"/>
    <n v="1760"/>
  </r>
  <r>
    <x v="27"/>
    <x v="1"/>
    <x v="4"/>
    <n v="16"/>
    <n v="40"/>
    <x v="2"/>
    <x v="9"/>
    <n v="640"/>
  </r>
  <r>
    <x v="27"/>
    <x v="3"/>
    <x v="0"/>
    <n v="11"/>
    <n v="16"/>
    <x v="7"/>
    <x v="10"/>
    <n v="176"/>
  </r>
  <r>
    <x v="28"/>
    <x v="0"/>
    <x v="2"/>
    <n v="10"/>
    <n v="80"/>
    <x v="5"/>
    <x v="11"/>
    <n v="800"/>
  </r>
  <r>
    <x v="28"/>
    <x v="3"/>
    <x v="2"/>
    <n v="12"/>
    <n v="16"/>
    <x v="3"/>
    <x v="0"/>
    <n v="192"/>
  </r>
  <r>
    <x v="28"/>
    <x v="4"/>
    <x v="0"/>
    <n v="8"/>
    <n v="150"/>
    <x v="7"/>
    <x v="1"/>
    <n v="1200"/>
  </r>
  <r>
    <x v="28"/>
    <x v="1"/>
    <x v="4"/>
    <n v="10"/>
    <n v="40"/>
    <x v="3"/>
    <x v="2"/>
    <n v="400"/>
  </r>
  <r>
    <x v="28"/>
    <x v="4"/>
    <x v="0"/>
    <n v="7"/>
    <n v="150"/>
    <x v="4"/>
    <x v="3"/>
    <n v="1050"/>
  </r>
  <r>
    <x v="28"/>
    <x v="3"/>
    <x v="2"/>
    <n v="6"/>
    <n v="16"/>
    <x v="0"/>
    <x v="4"/>
    <n v="96"/>
  </r>
  <r>
    <x v="28"/>
    <x v="0"/>
    <x v="3"/>
    <n v="15"/>
    <n v="80"/>
    <x v="5"/>
    <x v="5"/>
    <n v="1200"/>
  </r>
  <r>
    <x v="28"/>
    <x v="3"/>
    <x v="4"/>
    <n v="13"/>
    <n v="16"/>
    <x v="8"/>
    <x v="1"/>
    <n v="208"/>
  </r>
  <r>
    <x v="28"/>
    <x v="2"/>
    <x v="3"/>
    <n v="19"/>
    <n v="230"/>
    <x v="9"/>
    <x v="2"/>
    <n v="4370"/>
  </r>
  <r>
    <x v="28"/>
    <x v="0"/>
    <x v="3"/>
    <n v="21"/>
    <n v="80"/>
    <x v="1"/>
    <x v="3"/>
    <n v="1680"/>
  </r>
  <r>
    <x v="28"/>
    <x v="0"/>
    <x v="1"/>
    <n v="5"/>
    <n v="80"/>
    <x v="8"/>
    <x v="4"/>
    <n v="400"/>
  </r>
  <r>
    <x v="28"/>
    <x v="3"/>
    <x v="2"/>
    <n v="8"/>
    <n v="16"/>
    <x v="3"/>
    <x v="5"/>
    <n v="128"/>
  </r>
  <r>
    <x v="28"/>
    <x v="3"/>
    <x v="2"/>
    <n v="12"/>
    <n v="16"/>
    <x v="2"/>
    <x v="6"/>
    <n v="192"/>
  </r>
  <r>
    <x v="28"/>
    <x v="0"/>
    <x v="3"/>
    <n v="22"/>
    <n v="80"/>
    <x v="3"/>
    <x v="7"/>
    <n v="1760"/>
  </r>
  <r>
    <x v="28"/>
    <x v="1"/>
    <x v="0"/>
    <n v="5"/>
    <n v="40"/>
    <x v="7"/>
    <x v="8"/>
    <n v="200"/>
  </r>
  <r>
    <x v="29"/>
    <x v="4"/>
    <x v="1"/>
    <n v="23"/>
    <n v="150"/>
    <x v="2"/>
    <x v="9"/>
    <n v="3450"/>
  </r>
  <r>
    <x v="29"/>
    <x v="0"/>
    <x v="0"/>
    <n v="16"/>
    <n v="80"/>
    <x v="3"/>
    <x v="10"/>
    <n v="1280"/>
  </r>
  <r>
    <x v="29"/>
    <x v="4"/>
    <x v="4"/>
    <n v="15"/>
    <n v="150"/>
    <x v="8"/>
    <x v="11"/>
    <n v="2250"/>
  </r>
  <r>
    <x v="29"/>
    <x v="1"/>
    <x v="0"/>
    <n v="20"/>
    <n v="40"/>
    <x v="10"/>
    <x v="0"/>
    <n v="800"/>
  </r>
  <r>
    <x v="29"/>
    <x v="2"/>
    <x v="2"/>
    <n v="10"/>
    <n v="230"/>
    <x v="4"/>
    <x v="1"/>
    <n v="2300"/>
  </r>
  <r>
    <x v="29"/>
    <x v="0"/>
    <x v="1"/>
    <n v="9"/>
    <n v="80"/>
    <x v="3"/>
    <x v="2"/>
    <n v="720"/>
  </r>
  <r>
    <x v="29"/>
    <x v="2"/>
    <x v="0"/>
    <n v="16"/>
    <n v="230"/>
    <x v="8"/>
    <x v="3"/>
    <n v="3680"/>
  </r>
  <r>
    <x v="29"/>
    <x v="0"/>
    <x v="1"/>
    <n v="21"/>
    <n v="80"/>
    <x v="10"/>
    <x v="4"/>
    <n v="1680"/>
  </r>
  <r>
    <x v="29"/>
    <x v="0"/>
    <x v="1"/>
    <n v="9"/>
    <n v="80"/>
    <x v="3"/>
    <x v="5"/>
    <n v="720"/>
  </r>
  <r>
    <x v="29"/>
    <x v="1"/>
    <x v="1"/>
    <n v="4"/>
    <n v="40"/>
    <x v="11"/>
    <x v="1"/>
    <n v="160"/>
  </r>
  <r>
    <x v="29"/>
    <x v="2"/>
    <x v="2"/>
    <n v="5"/>
    <n v="230"/>
    <x v="0"/>
    <x v="2"/>
    <n v="1150"/>
  </r>
  <r>
    <x v="29"/>
    <x v="3"/>
    <x v="0"/>
    <n v="18"/>
    <n v="16"/>
    <x v="1"/>
    <x v="3"/>
    <n v="288"/>
  </r>
  <r>
    <x v="30"/>
    <x v="0"/>
    <x v="2"/>
    <n v="6"/>
    <n v="80"/>
    <x v="0"/>
    <x v="4"/>
    <n v="480"/>
  </r>
  <r>
    <x v="30"/>
    <x v="4"/>
    <x v="4"/>
    <n v="4"/>
    <n v="150"/>
    <x v="1"/>
    <x v="5"/>
    <n v="600"/>
  </r>
  <r>
    <x v="30"/>
    <x v="2"/>
    <x v="4"/>
    <n v="21"/>
    <n v="230"/>
    <x v="1"/>
    <x v="6"/>
    <n v="4830"/>
  </r>
  <r>
    <x v="30"/>
    <x v="4"/>
    <x v="0"/>
    <n v="4"/>
    <n v="150"/>
    <x v="9"/>
    <x v="7"/>
    <n v="600"/>
  </r>
  <r>
    <x v="30"/>
    <x v="0"/>
    <x v="1"/>
    <n v="2"/>
    <n v="80"/>
    <x v="10"/>
    <x v="8"/>
    <n v="160"/>
  </r>
  <r>
    <x v="30"/>
    <x v="3"/>
    <x v="1"/>
    <n v="5"/>
    <n v="16"/>
    <x v="2"/>
    <x v="9"/>
    <n v="80"/>
  </r>
  <r>
    <x v="30"/>
    <x v="4"/>
    <x v="4"/>
    <n v="23"/>
    <n v="150"/>
    <x v="5"/>
    <x v="10"/>
    <n v="3450"/>
  </r>
  <r>
    <x v="30"/>
    <x v="0"/>
    <x v="1"/>
    <n v="3"/>
    <n v="80"/>
    <x v="4"/>
    <x v="11"/>
    <n v="240"/>
  </r>
  <r>
    <x v="30"/>
    <x v="2"/>
    <x v="4"/>
    <n v="17"/>
    <n v="230"/>
    <x v="2"/>
    <x v="0"/>
    <n v="3910"/>
  </r>
  <r>
    <x v="30"/>
    <x v="1"/>
    <x v="2"/>
    <n v="11"/>
    <n v="40"/>
    <x v="1"/>
    <x v="1"/>
    <n v="440"/>
  </r>
  <r>
    <x v="30"/>
    <x v="2"/>
    <x v="0"/>
    <n v="7"/>
    <n v="230"/>
    <x v="4"/>
    <x v="2"/>
    <n v="1610"/>
  </r>
  <r>
    <x v="30"/>
    <x v="1"/>
    <x v="2"/>
    <n v="13"/>
    <n v="40"/>
    <x v="4"/>
    <x v="3"/>
    <n v="5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147774-37B5-40FD-8536-27B2E6BF35F6}"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7:B93" firstHeaderRow="1" firstDataRow="1" firstDataCol="1"/>
  <pivotFields count="8">
    <pivotField numFmtId="14" showAll="0"/>
    <pivotField showAll="0">
      <items count="6">
        <item x="3"/>
        <item x="2"/>
        <item x="0"/>
        <item x="4"/>
        <item x="1"/>
        <item t="default"/>
      </items>
    </pivotField>
    <pivotField axis="axisRow" showAll="0">
      <items count="6">
        <item x="4"/>
        <item x="0"/>
        <item x="2"/>
        <item x="1"/>
        <item x="3"/>
        <item t="default"/>
      </items>
    </pivotField>
    <pivotField showAll="0"/>
    <pivotField showAll="0"/>
    <pivotField dataField="1" showAll="0">
      <items count="13">
        <item x="0"/>
        <item x="4"/>
        <item x="3"/>
        <item x="10"/>
        <item x="1"/>
        <item x="9"/>
        <item x="8"/>
        <item x="5"/>
        <item x="7"/>
        <item x="6"/>
        <item x="2"/>
        <item x="11"/>
        <item t="default"/>
      </items>
    </pivotField>
    <pivotField showAll="0">
      <items count="13">
        <item x="5"/>
        <item x="3"/>
        <item x="6"/>
        <item x="8"/>
        <item x="10"/>
        <item x="9"/>
        <item x="7"/>
        <item x="11"/>
        <item x="2"/>
        <item x="0"/>
        <item x="1"/>
        <item x="4"/>
        <item t="default"/>
      </items>
    </pivotField>
    <pivotField showAll="0"/>
  </pivotFields>
  <rowFields count="1">
    <field x="2"/>
  </rowFields>
  <rowItems count="6">
    <i>
      <x/>
    </i>
    <i>
      <x v="1"/>
    </i>
    <i>
      <x v="2"/>
    </i>
    <i>
      <x v="3"/>
    </i>
    <i>
      <x v="4"/>
    </i>
    <i t="grand">
      <x/>
    </i>
  </rowItems>
  <colItems count="1">
    <i/>
  </colItems>
  <dataFields count="1">
    <dataField name="Sum of Commission" fld="5"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BA4AEC-9528-40DA-AC5A-4CBA7CE470C0}"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3:B79" firstHeaderRow="1" firstDataRow="1" firstDataCol="1"/>
  <pivotFields count="8">
    <pivotField numFmtId="14" showAll="0"/>
    <pivotField showAll="0">
      <items count="6">
        <item x="3"/>
        <item x="2"/>
        <item x="0"/>
        <item x="4"/>
        <item x="1"/>
        <item t="default"/>
      </items>
    </pivotField>
    <pivotField axis="axisRow" showAll="0">
      <items count="6">
        <item x="4"/>
        <item x="0"/>
        <item x="2"/>
        <item x="1"/>
        <item x="3"/>
        <item t="default"/>
      </items>
    </pivotField>
    <pivotField dataField="1" showAll="0"/>
    <pivotField showAll="0"/>
    <pivotField showAll="0"/>
    <pivotField showAll="0">
      <items count="13">
        <item x="5"/>
        <item x="3"/>
        <item x="6"/>
        <item x="8"/>
        <item x="10"/>
        <item x="9"/>
        <item x="7"/>
        <item x="11"/>
        <item x="2"/>
        <item x="0"/>
        <item x="1"/>
        <item x="4"/>
        <item t="default"/>
      </items>
    </pivotField>
    <pivotField showAll="0"/>
  </pivotFields>
  <rowFields count="1">
    <field x="2"/>
  </rowFields>
  <rowItems count="6">
    <i>
      <x/>
    </i>
    <i>
      <x v="1"/>
    </i>
    <i>
      <x v="2"/>
    </i>
    <i>
      <x v="3"/>
    </i>
    <i>
      <x v="4"/>
    </i>
    <i t="grand">
      <x/>
    </i>
  </rowItems>
  <colItems count="1">
    <i/>
  </colItems>
  <dataFields count="1">
    <dataField name="Sum of Quantity"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1B9C2-2C07-4139-8AEF-BFDE438D236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6:B69" firstHeaderRow="1" firstDataRow="1" firstDataCol="1"/>
  <pivotFields count="8">
    <pivotField numFmtId="14" showAll="0"/>
    <pivotField showAll="0">
      <items count="6">
        <item x="3"/>
        <item x="2"/>
        <item x="0"/>
        <item x="4"/>
        <item x="1"/>
        <item t="default"/>
      </items>
    </pivotField>
    <pivotField showAll="0"/>
    <pivotField showAll="0"/>
    <pivotField showAll="0"/>
    <pivotField showAll="0"/>
    <pivotField axis="axisRow" showAll="0">
      <items count="13">
        <item x="5"/>
        <item x="3"/>
        <item x="6"/>
        <item x="8"/>
        <item x="10"/>
        <item x="9"/>
        <item x="7"/>
        <item x="11"/>
        <item x="2"/>
        <item x="0"/>
        <item x="1"/>
        <item x="4"/>
        <item t="default"/>
      </items>
    </pivotField>
    <pivotField dataField="1" showAll="0"/>
  </pivotFields>
  <rowFields count="1">
    <field x="6"/>
  </rowFields>
  <rowItems count="13">
    <i>
      <x/>
    </i>
    <i>
      <x v="1"/>
    </i>
    <i>
      <x v="2"/>
    </i>
    <i>
      <x v="3"/>
    </i>
    <i>
      <x v="4"/>
    </i>
    <i>
      <x v="5"/>
    </i>
    <i>
      <x v="6"/>
    </i>
    <i>
      <x v="7"/>
    </i>
    <i>
      <x v="8"/>
    </i>
    <i>
      <x v="9"/>
    </i>
    <i>
      <x v="10"/>
    </i>
    <i>
      <x v="11"/>
    </i>
    <i t="grand">
      <x/>
    </i>
  </rowItems>
  <colItems count="1">
    <i/>
  </colItems>
  <dataFields count="1">
    <dataField name="Sum of Total sales" fld="7" baseField="0" baseItem="0"/>
  </dataFields>
  <chartFormats count="14">
    <chartFormat chart="1" format="0"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6" count="1" selected="0">
            <x v="0"/>
          </reference>
        </references>
      </pivotArea>
    </chartFormat>
    <chartFormat chart="7" format="16">
      <pivotArea type="data" outline="0" fieldPosition="0">
        <references count="2">
          <reference field="4294967294" count="1" selected="0">
            <x v="0"/>
          </reference>
          <reference field="6" count="1" selected="0">
            <x v="1"/>
          </reference>
        </references>
      </pivotArea>
    </chartFormat>
    <chartFormat chart="7" format="17">
      <pivotArea type="data" outline="0" fieldPosition="0">
        <references count="2">
          <reference field="4294967294" count="1" selected="0">
            <x v="0"/>
          </reference>
          <reference field="6" count="1" selected="0">
            <x v="2"/>
          </reference>
        </references>
      </pivotArea>
    </chartFormat>
    <chartFormat chart="7" format="18">
      <pivotArea type="data" outline="0" fieldPosition="0">
        <references count="2">
          <reference field="4294967294" count="1" selected="0">
            <x v="0"/>
          </reference>
          <reference field="6" count="1" selected="0">
            <x v="3"/>
          </reference>
        </references>
      </pivotArea>
    </chartFormat>
    <chartFormat chart="7" format="19">
      <pivotArea type="data" outline="0" fieldPosition="0">
        <references count="2">
          <reference field="4294967294" count="1" selected="0">
            <x v="0"/>
          </reference>
          <reference field="6" count="1" selected="0">
            <x v="4"/>
          </reference>
        </references>
      </pivotArea>
    </chartFormat>
    <chartFormat chart="7" format="20">
      <pivotArea type="data" outline="0" fieldPosition="0">
        <references count="2">
          <reference field="4294967294" count="1" selected="0">
            <x v="0"/>
          </reference>
          <reference field="6" count="1" selected="0">
            <x v="5"/>
          </reference>
        </references>
      </pivotArea>
    </chartFormat>
    <chartFormat chart="7" format="21">
      <pivotArea type="data" outline="0" fieldPosition="0">
        <references count="2">
          <reference field="4294967294" count="1" selected="0">
            <x v="0"/>
          </reference>
          <reference field="6" count="1" selected="0">
            <x v="6"/>
          </reference>
        </references>
      </pivotArea>
    </chartFormat>
    <chartFormat chart="7" format="22">
      <pivotArea type="data" outline="0" fieldPosition="0">
        <references count="2">
          <reference field="4294967294" count="1" selected="0">
            <x v="0"/>
          </reference>
          <reference field="6" count="1" selected="0">
            <x v="7"/>
          </reference>
        </references>
      </pivotArea>
    </chartFormat>
    <chartFormat chart="7" format="23">
      <pivotArea type="data" outline="0" fieldPosition="0">
        <references count="2">
          <reference field="4294967294" count="1" selected="0">
            <x v="0"/>
          </reference>
          <reference field="6" count="1" selected="0">
            <x v="8"/>
          </reference>
        </references>
      </pivotArea>
    </chartFormat>
    <chartFormat chart="7" format="24">
      <pivotArea type="data" outline="0" fieldPosition="0">
        <references count="2">
          <reference field="4294967294" count="1" selected="0">
            <x v="0"/>
          </reference>
          <reference field="6" count="1" selected="0">
            <x v="9"/>
          </reference>
        </references>
      </pivotArea>
    </chartFormat>
    <chartFormat chart="7" format="25">
      <pivotArea type="data" outline="0" fieldPosition="0">
        <references count="2">
          <reference field="4294967294" count="1" selected="0">
            <x v="0"/>
          </reference>
          <reference field="6" count="1" selected="0">
            <x v="10"/>
          </reference>
        </references>
      </pivotArea>
    </chartFormat>
    <chartFormat chart="7" format="26">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3FCA1E-889A-43E4-B4DF-048FB5F68FC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9:B52" firstHeaderRow="1" firstDataRow="1" firstDataCol="1"/>
  <pivotFields count="8">
    <pivotField numFmtId="14" showAll="0"/>
    <pivotField showAll="0">
      <items count="6">
        <item x="3"/>
        <item x="2"/>
        <item x="0"/>
        <item x="4"/>
        <item x="1"/>
        <item t="default"/>
      </items>
    </pivotField>
    <pivotField showAll="0"/>
    <pivotField dataField="1" showAll="0"/>
    <pivotField showAll="0"/>
    <pivotField showAll="0"/>
    <pivotField axis="axisRow" showAll="0">
      <items count="13">
        <item x="5"/>
        <item x="3"/>
        <item x="6"/>
        <item x="8"/>
        <item x="10"/>
        <item x="9"/>
        <item x="7"/>
        <item x="11"/>
        <item x="2"/>
        <item x="0"/>
        <item x="1"/>
        <item x="4"/>
        <item t="default"/>
      </items>
    </pivotField>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Quantity" fld="3" baseField="0" baseItem="0"/>
  </dataFields>
  <chartFormats count="14">
    <chartFormat chart="1" format="0"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6" count="1" selected="0">
            <x v="0"/>
          </reference>
        </references>
      </pivotArea>
    </chartFormat>
    <chartFormat chart="9" format="16">
      <pivotArea type="data" outline="0" fieldPosition="0">
        <references count="2">
          <reference field="4294967294" count="1" selected="0">
            <x v="0"/>
          </reference>
          <reference field="6" count="1" selected="0">
            <x v="1"/>
          </reference>
        </references>
      </pivotArea>
    </chartFormat>
    <chartFormat chart="9" format="17">
      <pivotArea type="data" outline="0" fieldPosition="0">
        <references count="2">
          <reference field="4294967294" count="1" selected="0">
            <x v="0"/>
          </reference>
          <reference field="6" count="1" selected="0">
            <x v="2"/>
          </reference>
        </references>
      </pivotArea>
    </chartFormat>
    <chartFormat chart="9" format="18">
      <pivotArea type="data" outline="0" fieldPosition="0">
        <references count="2">
          <reference field="4294967294" count="1" selected="0">
            <x v="0"/>
          </reference>
          <reference field="6" count="1" selected="0">
            <x v="3"/>
          </reference>
        </references>
      </pivotArea>
    </chartFormat>
    <chartFormat chart="9" format="19">
      <pivotArea type="data" outline="0" fieldPosition="0">
        <references count="2">
          <reference field="4294967294" count="1" selected="0">
            <x v="0"/>
          </reference>
          <reference field="6" count="1" selected="0">
            <x v="4"/>
          </reference>
        </references>
      </pivotArea>
    </chartFormat>
    <chartFormat chart="9" format="20">
      <pivotArea type="data" outline="0" fieldPosition="0">
        <references count="2">
          <reference field="4294967294" count="1" selected="0">
            <x v="0"/>
          </reference>
          <reference field="6" count="1" selected="0">
            <x v="5"/>
          </reference>
        </references>
      </pivotArea>
    </chartFormat>
    <chartFormat chart="9" format="21">
      <pivotArea type="data" outline="0" fieldPosition="0">
        <references count="2">
          <reference field="4294967294" count="1" selected="0">
            <x v="0"/>
          </reference>
          <reference field="6" count="1" selected="0">
            <x v="6"/>
          </reference>
        </references>
      </pivotArea>
    </chartFormat>
    <chartFormat chart="9" format="22">
      <pivotArea type="data" outline="0" fieldPosition="0">
        <references count="2">
          <reference field="4294967294" count="1" selected="0">
            <x v="0"/>
          </reference>
          <reference field="6" count="1" selected="0">
            <x v="7"/>
          </reference>
        </references>
      </pivotArea>
    </chartFormat>
    <chartFormat chart="9" format="23">
      <pivotArea type="data" outline="0" fieldPosition="0">
        <references count="2">
          <reference field="4294967294" count="1" selected="0">
            <x v="0"/>
          </reference>
          <reference field="6" count="1" selected="0">
            <x v="8"/>
          </reference>
        </references>
      </pivotArea>
    </chartFormat>
    <chartFormat chart="9" format="24">
      <pivotArea type="data" outline="0" fieldPosition="0">
        <references count="2">
          <reference field="4294967294" count="1" selected="0">
            <x v="0"/>
          </reference>
          <reference field="6" count="1" selected="0">
            <x v="9"/>
          </reference>
        </references>
      </pivotArea>
    </chartFormat>
    <chartFormat chart="9" format="25">
      <pivotArea type="data" outline="0" fieldPosition="0">
        <references count="2">
          <reference field="4294967294" count="1" selected="0">
            <x v="0"/>
          </reference>
          <reference field="6" count="1" selected="0">
            <x v="10"/>
          </reference>
        </references>
      </pivotArea>
    </chartFormat>
    <chartFormat chart="9" format="26">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5D8857-96D1-40EF-864C-FBCB5D41E4F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34" firstHeaderRow="1" firstDataRow="1" firstDataCol="1"/>
  <pivotFields count="8">
    <pivotField axis="axisRow"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items count="6">
        <item x="3"/>
        <item x="2"/>
        <item x="0"/>
        <item x="4"/>
        <item x="1"/>
        <item t="default"/>
      </items>
    </pivotField>
    <pivotField showAll="0"/>
    <pivotField showAll="0"/>
    <pivotField showAll="0"/>
    <pivotField showAll="0"/>
    <pivotField showAll="0">
      <items count="13">
        <item x="5"/>
        <item x="3"/>
        <item x="6"/>
        <item x="8"/>
        <item x="10"/>
        <item x="9"/>
        <item x="7"/>
        <item x="11"/>
        <item x="2"/>
        <item x="0"/>
        <item x="1"/>
        <item x="4"/>
        <item t="default"/>
      </items>
    </pivotField>
    <pivotField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Item"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5541939-BE55-4828-801D-AB24DD6C78A5}" autoFormatId="16" applyNumberFormats="0" applyBorderFormats="0" applyFontFormats="0" applyPatternFormats="0" applyAlignmentFormats="0" applyWidthHeightFormats="0">
  <queryTableRefresh nextId="10" unboundColumnsRight="1">
    <queryTableFields count="9">
      <queryTableField id="1" name="Date" tableColumnId="1"/>
      <queryTableField id="2" name="Item" tableColumnId="2"/>
      <queryTableField id="3" name="Sales Rep" tableColumnId="3"/>
      <queryTableField id="4" name="Quantity" tableColumnId="4"/>
      <queryTableField id="5" name="Price" tableColumnId="5"/>
      <queryTableField id="6" name="Commission" tableColumnId="6"/>
      <queryTableField id="7" name="State" tableColumnId="7"/>
      <queryTableField id="8" name="Total sales"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3CE246B-37FB-4AAB-865C-5F215C39CF29}" sourceName="State">
  <pivotTables>
    <pivotTable tabId="4" name="PivotTable1"/>
    <pivotTable tabId="4" name="PivotTable2"/>
    <pivotTable tabId="4" name="PivotTable3"/>
    <pivotTable tabId="4" name="PivotTable4"/>
    <pivotTable tabId="4" name="PivotTable5"/>
  </pivotTables>
  <data>
    <tabular pivotCacheId="120191108">
      <items count="12">
        <i x="5" s="1"/>
        <i x="3" s="1"/>
        <i x="6" s="1"/>
        <i x="8" s="1"/>
        <i x="10" s="1"/>
        <i x="9" s="1"/>
        <i x="7" s="1"/>
        <i x="11"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DB28AFB-5282-48C7-AFF9-228CF4CB0934}" sourceName="Item">
  <pivotTables>
    <pivotTable tabId="4" name="PivotTable1"/>
    <pivotTable tabId="4" name="PivotTable2"/>
    <pivotTable tabId="4" name="PivotTable3"/>
    <pivotTable tabId="4" name="PivotTable4"/>
    <pivotTable tabId="4" name="PivotTable5"/>
  </pivotTables>
  <data>
    <tabular pivotCacheId="120191108">
      <items count="5">
        <i x="3" s="1"/>
        <i x="2"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E75237F-D4F7-46FB-AE2E-9B48F207155E}" cache="Slicer_State" caption="State" rowHeight="247650"/>
  <slicer name="Item" xr10:uid="{711E9B36-DBDD-4A94-B180-48778C69BDF9}" cache="Slicer_Item" caption="Item"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8BA0AC4A-60F7-41D8-AE32-99BF7E9D2D25}" cache="Slicer_State" caption="State" rowHeight="247650"/>
  <slicer name="Item 1" xr10:uid="{D2007F5A-4504-4EBA-BA6F-4219F1327D11}" cache="Slicer_Item" caption="Item" columnCount="2"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79BF34-581A-4D69-8AC2-3CFDFAF07F14}" name="Table1" displayName="Table1" ref="A1:G1304" totalsRowShown="0">
  <autoFilter ref="A1:G1304" xr:uid="{5E79BF34-581A-4D69-8AC2-3CFDFAF07F14}"/>
  <tableColumns count="7">
    <tableColumn id="1" xr3:uid="{D5D90437-AA49-424F-BBF1-4462E534783F}" name="Date"/>
    <tableColumn id="2" xr3:uid="{8A386EBA-532B-4B2D-9290-6E0F6F971222}" name="Item"/>
    <tableColumn id="3" xr3:uid="{D2843D9D-4DF7-4F22-94CD-2CBF3F4AB6E7}" name="Sales Rep"/>
    <tableColumn id="4" xr3:uid="{1EBFD79E-6B04-44A5-B1FC-E66D910CAF52}" name="Quantity"/>
    <tableColumn id="5" xr3:uid="{C8A7FD7E-30D1-4295-992C-EBBB6A61B1C6}" name="Price"/>
    <tableColumn id="6" xr3:uid="{8195A876-F0B7-4878-AD47-F94276B17C61}" name="Commission"/>
    <tableColumn id="7" xr3:uid="{BC9CCC32-0B64-453B-B415-F779EC3F5B88}" name="St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246B09-9D1C-4A4B-BF6F-861934D5672E}" name="Table1_1" displayName="Table1_1" ref="A1:I1304" tableType="queryTable" totalsRowShown="0">
  <autoFilter ref="A1:I1304" xr:uid="{64246B09-9D1C-4A4B-BF6F-861934D5672E}"/>
  <tableColumns count="9">
    <tableColumn id="1" xr3:uid="{E0CAB700-0E1F-43AC-9B56-492D096F9D4A}" uniqueName="1" name="Date" queryTableFieldId="1" dataDxfId="4"/>
    <tableColumn id="2" xr3:uid="{005A2B6F-6C11-448A-8B5B-A4326FA96EB5}" uniqueName="2" name="Item" queryTableFieldId="2" dataDxfId="3"/>
    <tableColumn id="3" xr3:uid="{CC5AD395-C238-4D26-BC6F-781A543BC3A7}" uniqueName="3" name="Sales Rep" queryTableFieldId="3" dataDxfId="2"/>
    <tableColumn id="4" xr3:uid="{E58D71A4-A7C8-4461-A003-258B9369BA16}" uniqueName="4" name="Quantity" queryTableFieldId="4"/>
    <tableColumn id="5" xr3:uid="{71464672-714F-428F-BAD2-FA1DB6B8D439}" uniqueName="5" name="Price" queryTableFieldId="5"/>
    <tableColumn id="6" xr3:uid="{05437CD7-9ADA-42CC-8AA7-BCA4F5AAE744}" uniqueName="6" name="Commission" queryTableFieldId="6"/>
    <tableColumn id="7" xr3:uid="{3BF669B0-E76F-4FA5-BE59-46DFEEC27CB4}" uniqueName="7" name="State" queryTableFieldId="7" dataDxfId="1"/>
    <tableColumn id="8" xr3:uid="{DB2B689E-0669-4A3D-A2CC-843639E84315}" uniqueName="8" name="Total sales" queryTableFieldId="8"/>
    <tableColumn id="9" xr3:uid="{A7EB7138-6F69-480D-B9BF-E697F52462BD}" uniqueName="9" name="Total Comission" queryTableFieldId="9" dataDxfId="0">
      <calculatedColumnFormula>(Table1_1[[#This Row],[Total sales]]*Table1_1[[#This Row],[Commission]])+Table1_1[[#This Row],[Total sales]]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19371-FCAE-4F58-BCC4-DBD34AD8E8EC}">
  <dimension ref="A1:G1304"/>
  <sheetViews>
    <sheetView workbookViewId="0">
      <selection activeCell="J15" sqref="J15"/>
    </sheetView>
  </sheetViews>
  <sheetFormatPr defaultRowHeight="14.4" x14ac:dyDescent="0.3"/>
  <cols>
    <col min="3" max="3" width="11" customWidth="1"/>
    <col min="4" max="4" width="10" customWidth="1"/>
    <col min="6" max="6" width="13.33203125" customWidth="1"/>
  </cols>
  <sheetData>
    <row r="1" spans="1:7" x14ac:dyDescent="0.3">
      <c r="A1" t="s">
        <v>0</v>
      </c>
      <c r="B1" t="s">
        <v>1</v>
      </c>
      <c r="C1" t="s">
        <v>2</v>
      </c>
      <c r="D1" t="s">
        <v>3</v>
      </c>
      <c r="E1" t="s">
        <v>4</v>
      </c>
      <c r="F1" t="s">
        <v>5</v>
      </c>
      <c r="G1" t="s">
        <v>6</v>
      </c>
    </row>
    <row r="2" spans="1:7" x14ac:dyDescent="0.3">
      <c r="A2">
        <v>43282</v>
      </c>
      <c r="B2" t="s">
        <v>7</v>
      </c>
      <c r="C2" t="s">
        <v>8</v>
      </c>
      <c r="D2">
        <v>6</v>
      </c>
      <c r="E2">
        <v>80</v>
      </c>
      <c r="F2">
        <v>0.01</v>
      </c>
      <c r="G2" t="s">
        <v>9</v>
      </c>
    </row>
    <row r="3" spans="1:7" x14ac:dyDescent="0.3">
      <c r="A3">
        <v>43282</v>
      </c>
      <c r="B3" t="s">
        <v>10</v>
      </c>
      <c r="C3" t="s">
        <v>11</v>
      </c>
      <c r="D3">
        <v>20</v>
      </c>
      <c r="E3">
        <v>10</v>
      </c>
      <c r="F3">
        <v>0.05</v>
      </c>
      <c r="G3" t="s">
        <v>12</v>
      </c>
    </row>
    <row r="4" spans="1:7" x14ac:dyDescent="0.3">
      <c r="A4">
        <v>43282</v>
      </c>
      <c r="B4" t="s">
        <v>13</v>
      </c>
      <c r="C4" t="s">
        <v>11</v>
      </c>
      <c r="D4">
        <v>22</v>
      </c>
      <c r="E4">
        <v>230</v>
      </c>
      <c r="F4">
        <v>0.11</v>
      </c>
      <c r="G4" t="s">
        <v>14</v>
      </c>
    </row>
    <row r="5" spans="1:7" x14ac:dyDescent="0.3">
      <c r="A5">
        <v>43282</v>
      </c>
      <c r="B5" t="s">
        <v>13</v>
      </c>
      <c r="C5" t="s">
        <v>8</v>
      </c>
      <c r="D5">
        <v>8</v>
      </c>
      <c r="E5">
        <v>230</v>
      </c>
      <c r="F5">
        <v>0.03</v>
      </c>
      <c r="G5" t="s">
        <v>15</v>
      </c>
    </row>
    <row r="6" spans="1:7" x14ac:dyDescent="0.3">
      <c r="A6">
        <v>43282</v>
      </c>
      <c r="B6" t="s">
        <v>13</v>
      </c>
      <c r="C6" t="s">
        <v>16</v>
      </c>
      <c r="D6">
        <v>12</v>
      </c>
      <c r="E6">
        <v>230</v>
      </c>
      <c r="F6">
        <v>0.03</v>
      </c>
      <c r="G6" t="s">
        <v>17</v>
      </c>
    </row>
    <row r="7" spans="1:7" x14ac:dyDescent="0.3">
      <c r="A7">
        <v>43282</v>
      </c>
      <c r="B7" t="s">
        <v>7</v>
      </c>
      <c r="C7" t="s">
        <v>18</v>
      </c>
      <c r="D7">
        <v>19</v>
      </c>
      <c r="E7">
        <v>80</v>
      </c>
      <c r="F7">
        <v>0.02</v>
      </c>
      <c r="G7" t="s">
        <v>19</v>
      </c>
    </row>
    <row r="8" spans="1:7" x14ac:dyDescent="0.3">
      <c r="A8">
        <v>43282</v>
      </c>
      <c r="B8" t="s">
        <v>20</v>
      </c>
      <c r="C8" t="s">
        <v>21</v>
      </c>
      <c r="D8">
        <v>17</v>
      </c>
      <c r="E8">
        <v>16</v>
      </c>
      <c r="F8">
        <v>0.08</v>
      </c>
      <c r="G8" t="s">
        <v>22</v>
      </c>
    </row>
    <row r="9" spans="1:7" x14ac:dyDescent="0.3">
      <c r="A9">
        <v>43282</v>
      </c>
      <c r="B9" t="s">
        <v>23</v>
      </c>
      <c r="C9" t="s">
        <v>18</v>
      </c>
      <c r="D9">
        <v>7</v>
      </c>
      <c r="E9">
        <v>150</v>
      </c>
      <c r="F9">
        <v>0.05</v>
      </c>
      <c r="G9" t="s">
        <v>24</v>
      </c>
    </row>
    <row r="10" spans="1:7" x14ac:dyDescent="0.3">
      <c r="A10">
        <v>43282</v>
      </c>
      <c r="B10" t="s">
        <v>23</v>
      </c>
      <c r="C10" t="s">
        <v>18</v>
      </c>
      <c r="D10">
        <v>20</v>
      </c>
      <c r="E10">
        <v>150</v>
      </c>
      <c r="F10">
        <v>0.1</v>
      </c>
      <c r="G10" t="s">
        <v>25</v>
      </c>
    </row>
    <row r="11" spans="1:7" x14ac:dyDescent="0.3">
      <c r="A11">
        <v>43282</v>
      </c>
      <c r="B11" t="s">
        <v>20</v>
      </c>
      <c r="C11" t="s">
        <v>8</v>
      </c>
      <c r="D11">
        <v>21</v>
      </c>
      <c r="E11">
        <v>16</v>
      </c>
      <c r="F11">
        <v>0.09</v>
      </c>
      <c r="G11" t="s">
        <v>26</v>
      </c>
    </row>
    <row r="12" spans="1:7" x14ac:dyDescent="0.3">
      <c r="A12">
        <v>43282</v>
      </c>
      <c r="B12" t="s">
        <v>13</v>
      </c>
      <c r="C12" t="s">
        <v>11</v>
      </c>
      <c r="D12">
        <v>7</v>
      </c>
      <c r="E12">
        <v>230</v>
      </c>
      <c r="F12">
        <v>0.01</v>
      </c>
      <c r="G12" t="s">
        <v>27</v>
      </c>
    </row>
    <row r="13" spans="1:7" x14ac:dyDescent="0.3">
      <c r="A13">
        <v>43283</v>
      </c>
      <c r="B13" t="s">
        <v>7</v>
      </c>
      <c r="C13" t="s">
        <v>18</v>
      </c>
      <c r="D13">
        <v>7</v>
      </c>
      <c r="E13">
        <v>80</v>
      </c>
      <c r="F13">
        <v>7.0000000000000007E-2</v>
      </c>
      <c r="G13" t="s">
        <v>28</v>
      </c>
    </row>
    <row r="14" spans="1:7" x14ac:dyDescent="0.3">
      <c r="A14">
        <v>43283</v>
      </c>
      <c r="B14" t="s">
        <v>7</v>
      </c>
      <c r="C14" t="s">
        <v>21</v>
      </c>
      <c r="D14">
        <v>9</v>
      </c>
      <c r="E14">
        <v>80</v>
      </c>
      <c r="F14">
        <v>0.02</v>
      </c>
      <c r="G14" t="s">
        <v>9</v>
      </c>
    </row>
    <row r="15" spans="1:7" x14ac:dyDescent="0.3">
      <c r="A15">
        <v>43283</v>
      </c>
      <c r="B15" t="s">
        <v>10</v>
      </c>
      <c r="C15" t="s">
        <v>21</v>
      </c>
      <c r="D15">
        <v>16</v>
      </c>
      <c r="E15">
        <v>40</v>
      </c>
      <c r="F15">
        <v>0.09</v>
      </c>
      <c r="G15" t="s">
        <v>12</v>
      </c>
    </row>
    <row r="16" spans="1:7" x14ac:dyDescent="0.3">
      <c r="A16">
        <v>43283</v>
      </c>
      <c r="B16" t="s">
        <v>23</v>
      </c>
      <c r="C16" t="s">
        <v>11</v>
      </c>
      <c r="D16">
        <v>23</v>
      </c>
      <c r="E16">
        <v>150</v>
      </c>
      <c r="F16">
        <v>0.11</v>
      </c>
      <c r="G16" t="s">
        <v>14</v>
      </c>
    </row>
    <row r="17" spans="1:7" x14ac:dyDescent="0.3">
      <c r="A17">
        <v>43283</v>
      </c>
      <c r="B17" t="s">
        <v>20</v>
      </c>
      <c r="C17" t="s">
        <v>18</v>
      </c>
      <c r="D17">
        <v>22</v>
      </c>
      <c r="E17">
        <v>16</v>
      </c>
      <c r="F17">
        <v>0.03</v>
      </c>
      <c r="G17" t="s">
        <v>15</v>
      </c>
    </row>
    <row r="18" spans="1:7" x14ac:dyDescent="0.3">
      <c r="A18">
        <v>43283</v>
      </c>
      <c r="B18" t="s">
        <v>10</v>
      </c>
      <c r="C18" t="s">
        <v>18</v>
      </c>
      <c r="D18">
        <v>23</v>
      </c>
      <c r="E18">
        <v>40</v>
      </c>
      <c r="F18">
        <v>0.06</v>
      </c>
      <c r="G18" t="s">
        <v>17</v>
      </c>
    </row>
    <row r="19" spans="1:7" x14ac:dyDescent="0.3">
      <c r="A19">
        <v>43283</v>
      </c>
      <c r="B19" t="s">
        <v>7</v>
      </c>
      <c r="C19" t="s">
        <v>8</v>
      </c>
      <c r="D19">
        <v>20</v>
      </c>
      <c r="E19">
        <v>80</v>
      </c>
      <c r="F19">
        <v>0.01</v>
      </c>
      <c r="G19" t="s">
        <v>19</v>
      </c>
    </row>
    <row r="20" spans="1:7" x14ac:dyDescent="0.3">
      <c r="A20">
        <v>43284</v>
      </c>
      <c r="B20" t="s">
        <v>7</v>
      </c>
      <c r="C20" t="s">
        <v>18</v>
      </c>
      <c r="D20">
        <v>11</v>
      </c>
      <c r="E20">
        <v>80</v>
      </c>
      <c r="F20">
        <v>0.01</v>
      </c>
      <c r="G20" t="s">
        <v>22</v>
      </c>
    </row>
    <row r="21" spans="1:7" x14ac:dyDescent="0.3">
      <c r="A21">
        <v>43284</v>
      </c>
      <c r="B21" t="s">
        <v>10</v>
      </c>
      <c r="C21" t="s">
        <v>18</v>
      </c>
      <c r="D21">
        <v>9</v>
      </c>
      <c r="E21">
        <v>40</v>
      </c>
      <c r="F21">
        <v>0.06</v>
      </c>
      <c r="G21" t="s">
        <v>24</v>
      </c>
    </row>
    <row r="22" spans="1:7" x14ac:dyDescent="0.3">
      <c r="A22">
        <v>43284</v>
      </c>
      <c r="B22" t="s">
        <v>7</v>
      </c>
      <c r="C22" t="s">
        <v>21</v>
      </c>
      <c r="D22">
        <v>16</v>
      </c>
      <c r="E22">
        <v>80</v>
      </c>
      <c r="F22">
        <v>0.09</v>
      </c>
      <c r="G22" t="s">
        <v>25</v>
      </c>
    </row>
    <row r="23" spans="1:7" x14ac:dyDescent="0.3">
      <c r="A23">
        <v>43284</v>
      </c>
      <c r="B23" t="s">
        <v>7</v>
      </c>
      <c r="C23" t="s">
        <v>16</v>
      </c>
      <c r="D23">
        <v>10</v>
      </c>
      <c r="E23">
        <v>80</v>
      </c>
      <c r="F23">
        <v>0.08</v>
      </c>
      <c r="G23" t="s">
        <v>26</v>
      </c>
    </row>
    <row r="24" spans="1:7" x14ac:dyDescent="0.3">
      <c r="A24">
        <v>43284</v>
      </c>
      <c r="B24" t="s">
        <v>20</v>
      </c>
      <c r="C24" t="s">
        <v>16</v>
      </c>
      <c r="D24">
        <v>12</v>
      </c>
      <c r="E24">
        <v>16</v>
      </c>
      <c r="F24">
        <v>0.11</v>
      </c>
      <c r="G24" t="s">
        <v>27</v>
      </c>
    </row>
    <row r="25" spans="1:7" x14ac:dyDescent="0.3">
      <c r="A25">
        <v>43284</v>
      </c>
      <c r="B25" t="s">
        <v>23</v>
      </c>
      <c r="C25" t="s">
        <v>18</v>
      </c>
      <c r="D25">
        <v>6</v>
      </c>
      <c r="E25">
        <v>150</v>
      </c>
      <c r="F25">
        <v>0.03</v>
      </c>
      <c r="G25" t="s">
        <v>28</v>
      </c>
    </row>
    <row r="26" spans="1:7" x14ac:dyDescent="0.3">
      <c r="A26">
        <v>43284</v>
      </c>
      <c r="B26" t="s">
        <v>20</v>
      </c>
      <c r="C26" t="s">
        <v>16</v>
      </c>
      <c r="D26">
        <v>11</v>
      </c>
      <c r="E26">
        <v>16</v>
      </c>
      <c r="F26">
        <v>0.04</v>
      </c>
      <c r="G26" t="s">
        <v>9</v>
      </c>
    </row>
    <row r="27" spans="1:7" x14ac:dyDescent="0.3">
      <c r="A27">
        <v>43284</v>
      </c>
      <c r="B27" t="s">
        <v>7</v>
      </c>
      <c r="C27" t="s">
        <v>18</v>
      </c>
      <c r="D27">
        <v>22</v>
      </c>
      <c r="E27">
        <v>80</v>
      </c>
      <c r="F27">
        <v>0.03</v>
      </c>
      <c r="G27" t="s">
        <v>12</v>
      </c>
    </row>
    <row r="28" spans="1:7" x14ac:dyDescent="0.3">
      <c r="A28">
        <v>43284</v>
      </c>
      <c r="B28" t="s">
        <v>20</v>
      </c>
      <c r="C28" t="s">
        <v>11</v>
      </c>
      <c r="D28">
        <v>7</v>
      </c>
      <c r="E28">
        <v>16</v>
      </c>
      <c r="F28">
        <v>0.08</v>
      </c>
      <c r="G28" t="s">
        <v>14</v>
      </c>
    </row>
    <row r="29" spans="1:7" x14ac:dyDescent="0.3">
      <c r="A29">
        <v>43284</v>
      </c>
      <c r="B29" t="s">
        <v>10</v>
      </c>
      <c r="C29" t="s">
        <v>18</v>
      </c>
      <c r="D29">
        <v>13</v>
      </c>
      <c r="E29">
        <v>40</v>
      </c>
      <c r="F29">
        <v>0.09</v>
      </c>
      <c r="G29" t="s">
        <v>15</v>
      </c>
    </row>
    <row r="30" spans="1:7" x14ac:dyDescent="0.3">
      <c r="A30">
        <v>43284</v>
      </c>
      <c r="B30" t="s">
        <v>13</v>
      </c>
      <c r="C30" t="s">
        <v>18</v>
      </c>
      <c r="D30">
        <v>8</v>
      </c>
      <c r="E30">
        <v>230</v>
      </c>
      <c r="F30">
        <v>0.05</v>
      </c>
      <c r="G30" t="s">
        <v>17</v>
      </c>
    </row>
    <row r="31" spans="1:7" x14ac:dyDescent="0.3">
      <c r="A31">
        <v>43284</v>
      </c>
      <c r="B31" t="s">
        <v>20</v>
      </c>
      <c r="C31" t="s">
        <v>18</v>
      </c>
      <c r="D31">
        <v>14</v>
      </c>
      <c r="E31">
        <v>16</v>
      </c>
      <c r="F31">
        <v>0.12</v>
      </c>
      <c r="G31" t="s">
        <v>19</v>
      </c>
    </row>
    <row r="32" spans="1:7" x14ac:dyDescent="0.3">
      <c r="A32">
        <v>43284</v>
      </c>
      <c r="B32" t="s">
        <v>10</v>
      </c>
      <c r="C32" t="s">
        <v>21</v>
      </c>
      <c r="D32">
        <v>16</v>
      </c>
      <c r="E32">
        <v>40</v>
      </c>
      <c r="F32">
        <v>0.09</v>
      </c>
      <c r="G32" t="s">
        <v>22</v>
      </c>
    </row>
    <row r="33" spans="1:7" x14ac:dyDescent="0.3">
      <c r="A33">
        <v>43285</v>
      </c>
      <c r="B33" t="s">
        <v>23</v>
      </c>
      <c r="C33" t="s">
        <v>11</v>
      </c>
      <c r="D33">
        <v>16</v>
      </c>
      <c r="E33">
        <v>150</v>
      </c>
      <c r="F33">
        <v>0.05</v>
      </c>
      <c r="G33" t="s">
        <v>24</v>
      </c>
    </row>
    <row r="34" spans="1:7" x14ac:dyDescent="0.3">
      <c r="A34">
        <v>43285</v>
      </c>
      <c r="B34" t="s">
        <v>10</v>
      </c>
      <c r="C34" t="s">
        <v>11</v>
      </c>
      <c r="D34">
        <v>12</v>
      </c>
      <c r="E34">
        <v>40</v>
      </c>
      <c r="F34">
        <v>0.1</v>
      </c>
      <c r="G34" t="s">
        <v>25</v>
      </c>
    </row>
    <row r="35" spans="1:7" x14ac:dyDescent="0.3">
      <c r="A35">
        <v>43285</v>
      </c>
      <c r="B35" t="s">
        <v>7</v>
      </c>
      <c r="C35" t="s">
        <v>21</v>
      </c>
      <c r="D35">
        <v>17</v>
      </c>
      <c r="E35">
        <v>80</v>
      </c>
      <c r="F35">
        <v>7.0000000000000007E-2</v>
      </c>
      <c r="G35" t="s">
        <v>26</v>
      </c>
    </row>
    <row r="36" spans="1:7" x14ac:dyDescent="0.3">
      <c r="A36">
        <v>43285</v>
      </c>
      <c r="B36" t="s">
        <v>13</v>
      </c>
      <c r="C36" t="s">
        <v>18</v>
      </c>
      <c r="D36">
        <v>19</v>
      </c>
      <c r="E36">
        <v>230</v>
      </c>
      <c r="F36">
        <v>0.06</v>
      </c>
      <c r="G36" t="s">
        <v>27</v>
      </c>
    </row>
    <row r="37" spans="1:7" x14ac:dyDescent="0.3">
      <c r="A37">
        <v>43285</v>
      </c>
      <c r="B37" t="s">
        <v>13</v>
      </c>
      <c r="C37" t="s">
        <v>21</v>
      </c>
      <c r="D37">
        <v>22</v>
      </c>
      <c r="E37">
        <v>230</v>
      </c>
      <c r="F37">
        <v>0.1</v>
      </c>
      <c r="G37" t="s">
        <v>28</v>
      </c>
    </row>
    <row r="38" spans="1:7" x14ac:dyDescent="0.3">
      <c r="A38">
        <v>43285</v>
      </c>
      <c r="B38" t="s">
        <v>10</v>
      </c>
      <c r="C38" t="s">
        <v>18</v>
      </c>
      <c r="D38">
        <v>22</v>
      </c>
      <c r="E38">
        <v>40</v>
      </c>
      <c r="F38">
        <v>0.01</v>
      </c>
      <c r="G38" t="s">
        <v>9</v>
      </c>
    </row>
    <row r="39" spans="1:7" x14ac:dyDescent="0.3">
      <c r="A39">
        <v>43285</v>
      </c>
      <c r="B39" t="s">
        <v>20</v>
      </c>
      <c r="C39" t="s">
        <v>18</v>
      </c>
      <c r="D39">
        <v>10</v>
      </c>
      <c r="E39">
        <v>16</v>
      </c>
      <c r="F39">
        <v>0.04</v>
      </c>
      <c r="G39" t="s">
        <v>12</v>
      </c>
    </row>
    <row r="40" spans="1:7" x14ac:dyDescent="0.3">
      <c r="A40">
        <v>43285</v>
      </c>
      <c r="B40" t="s">
        <v>10</v>
      </c>
      <c r="C40" t="s">
        <v>11</v>
      </c>
      <c r="D40">
        <v>4</v>
      </c>
      <c r="E40">
        <v>40</v>
      </c>
      <c r="F40">
        <v>0.12</v>
      </c>
      <c r="G40" t="s">
        <v>14</v>
      </c>
    </row>
    <row r="41" spans="1:7" x14ac:dyDescent="0.3">
      <c r="A41">
        <v>43285</v>
      </c>
      <c r="B41" t="s">
        <v>10</v>
      </c>
      <c r="C41" t="s">
        <v>21</v>
      </c>
      <c r="D41">
        <v>20</v>
      </c>
      <c r="E41">
        <v>40</v>
      </c>
      <c r="F41">
        <v>0.05</v>
      </c>
      <c r="G41" t="s">
        <v>15</v>
      </c>
    </row>
    <row r="42" spans="1:7" x14ac:dyDescent="0.3">
      <c r="A42">
        <v>43286</v>
      </c>
      <c r="B42" t="s">
        <v>13</v>
      </c>
      <c r="C42" t="s">
        <v>18</v>
      </c>
      <c r="D42">
        <v>23</v>
      </c>
      <c r="E42">
        <v>230</v>
      </c>
      <c r="F42">
        <v>0.06</v>
      </c>
      <c r="G42" t="s">
        <v>17</v>
      </c>
    </row>
    <row r="43" spans="1:7" x14ac:dyDescent="0.3">
      <c r="A43">
        <v>43286</v>
      </c>
      <c r="B43" t="s">
        <v>10</v>
      </c>
      <c r="C43" t="s">
        <v>16</v>
      </c>
      <c r="D43">
        <v>20</v>
      </c>
      <c r="E43">
        <v>40</v>
      </c>
      <c r="F43">
        <v>0.01</v>
      </c>
      <c r="G43" t="s">
        <v>19</v>
      </c>
    </row>
    <row r="44" spans="1:7" x14ac:dyDescent="0.3">
      <c r="A44">
        <v>43286</v>
      </c>
      <c r="B44" t="s">
        <v>23</v>
      </c>
      <c r="C44" t="s">
        <v>16</v>
      </c>
      <c r="D44">
        <v>20</v>
      </c>
      <c r="E44">
        <v>150</v>
      </c>
      <c r="F44">
        <v>0.04</v>
      </c>
      <c r="G44" t="s">
        <v>22</v>
      </c>
    </row>
    <row r="45" spans="1:7" x14ac:dyDescent="0.3">
      <c r="A45">
        <v>43286</v>
      </c>
      <c r="B45" t="s">
        <v>7</v>
      </c>
      <c r="C45" t="s">
        <v>11</v>
      </c>
      <c r="D45">
        <v>9</v>
      </c>
      <c r="E45">
        <v>80</v>
      </c>
      <c r="F45">
        <v>0.03</v>
      </c>
      <c r="G45" t="s">
        <v>24</v>
      </c>
    </row>
    <row r="46" spans="1:7" x14ac:dyDescent="0.3">
      <c r="A46">
        <v>43286</v>
      </c>
      <c r="B46" t="s">
        <v>13</v>
      </c>
      <c r="C46" t="s">
        <v>8</v>
      </c>
      <c r="D46">
        <v>7</v>
      </c>
      <c r="E46">
        <v>230</v>
      </c>
      <c r="F46">
        <v>0.02</v>
      </c>
      <c r="G46" t="s">
        <v>25</v>
      </c>
    </row>
    <row r="47" spans="1:7" x14ac:dyDescent="0.3">
      <c r="A47">
        <v>43286</v>
      </c>
      <c r="B47" t="s">
        <v>13</v>
      </c>
      <c r="C47" t="s">
        <v>8</v>
      </c>
      <c r="D47">
        <v>3</v>
      </c>
      <c r="E47">
        <v>230</v>
      </c>
      <c r="F47">
        <v>0.06</v>
      </c>
      <c r="G47" t="s">
        <v>26</v>
      </c>
    </row>
    <row r="48" spans="1:7" x14ac:dyDescent="0.3">
      <c r="A48">
        <v>43286</v>
      </c>
      <c r="B48" t="s">
        <v>23</v>
      </c>
      <c r="C48" t="s">
        <v>8</v>
      </c>
      <c r="D48">
        <v>13</v>
      </c>
      <c r="E48">
        <v>150</v>
      </c>
      <c r="F48">
        <v>0.05</v>
      </c>
      <c r="G48" t="s">
        <v>27</v>
      </c>
    </row>
    <row r="49" spans="1:7" x14ac:dyDescent="0.3">
      <c r="A49">
        <v>43286</v>
      </c>
      <c r="B49" t="s">
        <v>7</v>
      </c>
      <c r="C49" t="s">
        <v>8</v>
      </c>
      <c r="D49">
        <v>17</v>
      </c>
      <c r="E49">
        <v>80</v>
      </c>
      <c r="F49">
        <v>0.09</v>
      </c>
      <c r="G49" t="s">
        <v>28</v>
      </c>
    </row>
    <row r="50" spans="1:7" x14ac:dyDescent="0.3">
      <c r="A50">
        <v>43287</v>
      </c>
      <c r="B50" t="s">
        <v>10</v>
      </c>
      <c r="C50" t="s">
        <v>18</v>
      </c>
      <c r="D50">
        <v>18</v>
      </c>
      <c r="E50">
        <v>40</v>
      </c>
      <c r="F50">
        <v>0.06</v>
      </c>
      <c r="G50" t="s">
        <v>9</v>
      </c>
    </row>
    <row r="51" spans="1:7" x14ac:dyDescent="0.3">
      <c r="A51">
        <v>43287</v>
      </c>
      <c r="B51" t="s">
        <v>20</v>
      </c>
      <c r="C51" t="s">
        <v>16</v>
      </c>
      <c r="D51">
        <v>23</v>
      </c>
      <c r="E51">
        <v>16</v>
      </c>
      <c r="F51">
        <v>0.11</v>
      </c>
      <c r="G51" t="s">
        <v>12</v>
      </c>
    </row>
    <row r="52" spans="1:7" x14ac:dyDescent="0.3">
      <c r="A52">
        <v>43287</v>
      </c>
      <c r="B52" t="s">
        <v>13</v>
      </c>
      <c r="C52" t="s">
        <v>16</v>
      </c>
      <c r="D52">
        <v>20</v>
      </c>
      <c r="E52">
        <v>230</v>
      </c>
      <c r="F52">
        <v>0.06</v>
      </c>
      <c r="G52" t="s">
        <v>14</v>
      </c>
    </row>
    <row r="53" spans="1:7" x14ac:dyDescent="0.3">
      <c r="A53">
        <v>43287</v>
      </c>
      <c r="B53" t="s">
        <v>20</v>
      </c>
      <c r="C53" t="s">
        <v>8</v>
      </c>
      <c r="D53">
        <v>11</v>
      </c>
      <c r="E53">
        <v>16</v>
      </c>
      <c r="F53">
        <v>0.09</v>
      </c>
      <c r="G53" t="s">
        <v>15</v>
      </c>
    </row>
    <row r="54" spans="1:7" x14ac:dyDescent="0.3">
      <c r="A54">
        <v>43287</v>
      </c>
      <c r="B54" t="s">
        <v>23</v>
      </c>
      <c r="C54" t="s">
        <v>21</v>
      </c>
      <c r="D54">
        <v>15</v>
      </c>
      <c r="E54">
        <v>150</v>
      </c>
      <c r="F54">
        <v>7.0000000000000007E-2</v>
      </c>
      <c r="G54" t="s">
        <v>17</v>
      </c>
    </row>
    <row r="55" spans="1:7" x14ac:dyDescent="0.3">
      <c r="A55">
        <v>43287</v>
      </c>
      <c r="B55" t="s">
        <v>13</v>
      </c>
      <c r="C55" t="s">
        <v>11</v>
      </c>
      <c r="D55">
        <v>6</v>
      </c>
      <c r="E55">
        <v>230</v>
      </c>
      <c r="F55">
        <v>0.1</v>
      </c>
      <c r="G55" t="s">
        <v>19</v>
      </c>
    </row>
    <row r="56" spans="1:7" x14ac:dyDescent="0.3">
      <c r="A56">
        <v>43287</v>
      </c>
      <c r="B56" t="s">
        <v>10</v>
      </c>
      <c r="C56" t="s">
        <v>8</v>
      </c>
      <c r="D56">
        <v>22</v>
      </c>
      <c r="E56">
        <v>40</v>
      </c>
      <c r="F56">
        <v>0.02</v>
      </c>
      <c r="G56" t="s">
        <v>22</v>
      </c>
    </row>
    <row r="57" spans="1:7" x14ac:dyDescent="0.3">
      <c r="A57">
        <v>43287</v>
      </c>
      <c r="B57" t="s">
        <v>10</v>
      </c>
      <c r="C57" t="s">
        <v>8</v>
      </c>
      <c r="D57">
        <v>15</v>
      </c>
      <c r="E57">
        <v>40</v>
      </c>
      <c r="F57">
        <v>0.06</v>
      </c>
      <c r="G57" t="s">
        <v>24</v>
      </c>
    </row>
    <row r="58" spans="1:7" x14ac:dyDescent="0.3">
      <c r="A58">
        <v>43287</v>
      </c>
      <c r="B58" t="s">
        <v>20</v>
      </c>
      <c r="C58" t="s">
        <v>16</v>
      </c>
      <c r="D58">
        <v>12</v>
      </c>
      <c r="E58">
        <v>16</v>
      </c>
      <c r="F58">
        <v>0.03</v>
      </c>
      <c r="G58" t="s">
        <v>25</v>
      </c>
    </row>
    <row r="59" spans="1:7" x14ac:dyDescent="0.3">
      <c r="A59">
        <v>43287</v>
      </c>
      <c r="B59" t="s">
        <v>20</v>
      </c>
      <c r="C59" t="s">
        <v>21</v>
      </c>
      <c r="D59">
        <v>22</v>
      </c>
      <c r="E59">
        <v>16</v>
      </c>
      <c r="F59">
        <v>0.12</v>
      </c>
      <c r="G59" t="s">
        <v>26</v>
      </c>
    </row>
    <row r="60" spans="1:7" x14ac:dyDescent="0.3">
      <c r="A60">
        <v>43287</v>
      </c>
      <c r="B60" t="s">
        <v>7</v>
      </c>
      <c r="C60" t="s">
        <v>8</v>
      </c>
      <c r="D60">
        <v>21</v>
      </c>
      <c r="E60">
        <v>80</v>
      </c>
      <c r="F60">
        <v>0.04</v>
      </c>
      <c r="G60" t="s">
        <v>27</v>
      </c>
    </row>
    <row r="61" spans="1:7" x14ac:dyDescent="0.3">
      <c r="A61">
        <v>43287</v>
      </c>
      <c r="B61" t="s">
        <v>23</v>
      </c>
      <c r="C61" t="s">
        <v>8</v>
      </c>
      <c r="D61">
        <v>22</v>
      </c>
      <c r="E61">
        <v>150</v>
      </c>
      <c r="F61">
        <v>0.05</v>
      </c>
      <c r="G61" t="s">
        <v>28</v>
      </c>
    </row>
    <row r="62" spans="1:7" x14ac:dyDescent="0.3">
      <c r="A62">
        <v>43287</v>
      </c>
      <c r="B62" t="s">
        <v>7</v>
      </c>
      <c r="C62" t="s">
        <v>21</v>
      </c>
      <c r="D62">
        <v>21</v>
      </c>
      <c r="E62">
        <v>80</v>
      </c>
      <c r="F62">
        <v>0.09</v>
      </c>
      <c r="G62" t="s">
        <v>9</v>
      </c>
    </row>
    <row r="63" spans="1:7" x14ac:dyDescent="0.3">
      <c r="A63">
        <v>43287</v>
      </c>
      <c r="B63" t="s">
        <v>7</v>
      </c>
      <c r="C63" t="s">
        <v>18</v>
      </c>
      <c r="D63">
        <v>10</v>
      </c>
      <c r="E63">
        <v>80</v>
      </c>
      <c r="F63">
        <v>0.1</v>
      </c>
      <c r="G63" t="s">
        <v>12</v>
      </c>
    </row>
    <row r="64" spans="1:7" x14ac:dyDescent="0.3">
      <c r="A64">
        <v>43287</v>
      </c>
      <c r="B64" t="s">
        <v>13</v>
      </c>
      <c r="C64" t="s">
        <v>11</v>
      </c>
      <c r="D64">
        <v>15</v>
      </c>
      <c r="E64">
        <v>230</v>
      </c>
      <c r="F64">
        <v>0.09</v>
      </c>
      <c r="G64" t="s">
        <v>14</v>
      </c>
    </row>
    <row r="65" spans="1:7" x14ac:dyDescent="0.3">
      <c r="A65">
        <v>43288</v>
      </c>
      <c r="B65" t="s">
        <v>7</v>
      </c>
      <c r="C65" t="s">
        <v>8</v>
      </c>
      <c r="D65">
        <v>14</v>
      </c>
      <c r="E65">
        <v>80</v>
      </c>
      <c r="F65">
        <v>0.08</v>
      </c>
      <c r="G65" t="s">
        <v>15</v>
      </c>
    </row>
    <row r="66" spans="1:7" x14ac:dyDescent="0.3">
      <c r="A66">
        <v>43288</v>
      </c>
      <c r="B66" t="s">
        <v>7</v>
      </c>
      <c r="C66" t="s">
        <v>21</v>
      </c>
      <c r="D66">
        <v>10</v>
      </c>
      <c r="E66">
        <v>80</v>
      </c>
      <c r="F66">
        <v>0.06</v>
      </c>
      <c r="G66" t="s">
        <v>17</v>
      </c>
    </row>
    <row r="67" spans="1:7" x14ac:dyDescent="0.3">
      <c r="A67">
        <v>43288</v>
      </c>
      <c r="B67" t="s">
        <v>23</v>
      </c>
      <c r="C67" t="s">
        <v>8</v>
      </c>
      <c r="D67">
        <v>5</v>
      </c>
      <c r="E67">
        <v>150</v>
      </c>
      <c r="F67">
        <v>0.11</v>
      </c>
      <c r="G67" t="s">
        <v>19</v>
      </c>
    </row>
    <row r="68" spans="1:7" x14ac:dyDescent="0.3">
      <c r="A68">
        <v>43288</v>
      </c>
      <c r="B68" t="s">
        <v>13</v>
      </c>
      <c r="C68" t="s">
        <v>18</v>
      </c>
      <c r="D68">
        <v>3</v>
      </c>
      <c r="E68">
        <v>230</v>
      </c>
      <c r="F68">
        <v>0.01</v>
      </c>
      <c r="G68" t="s">
        <v>22</v>
      </c>
    </row>
    <row r="69" spans="1:7" x14ac:dyDescent="0.3">
      <c r="A69">
        <v>43288</v>
      </c>
      <c r="B69" t="s">
        <v>10</v>
      </c>
      <c r="C69" t="s">
        <v>18</v>
      </c>
      <c r="D69">
        <v>4</v>
      </c>
      <c r="E69">
        <v>40</v>
      </c>
      <c r="F69">
        <v>0.05</v>
      </c>
      <c r="G69" t="s">
        <v>24</v>
      </c>
    </row>
    <row r="70" spans="1:7" x14ac:dyDescent="0.3">
      <c r="A70">
        <v>43288</v>
      </c>
      <c r="B70" t="s">
        <v>23</v>
      </c>
      <c r="C70" t="s">
        <v>16</v>
      </c>
      <c r="D70">
        <v>18</v>
      </c>
      <c r="E70">
        <v>150</v>
      </c>
      <c r="F70">
        <v>0.06</v>
      </c>
      <c r="G70" t="s">
        <v>25</v>
      </c>
    </row>
    <row r="71" spans="1:7" x14ac:dyDescent="0.3">
      <c r="A71">
        <v>43288</v>
      </c>
      <c r="B71" t="s">
        <v>10</v>
      </c>
      <c r="C71" t="s">
        <v>21</v>
      </c>
      <c r="D71">
        <v>20</v>
      </c>
      <c r="E71">
        <v>40</v>
      </c>
      <c r="F71">
        <v>0.1</v>
      </c>
      <c r="G71" t="s">
        <v>26</v>
      </c>
    </row>
    <row r="72" spans="1:7" x14ac:dyDescent="0.3">
      <c r="A72">
        <v>43288</v>
      </c>
      <c r="B72" t="s">
        <v>7</v>
      </c>
      <c r="C72" t="s">
        <v>18</v>
      </c>
      <c r="D72">
        <v>16</v>
      </c>
      <c r="E72">
        <v>80</v>
      </c>
      <c r="F72">
        <v>0.05</v>
      </c>
      <c r="G72" t="s">
        <v>9</v>
      </c>
    </row>
    <row r="73" spans="1:7" x14ac:dyDescent="0.3">
      <c r="A73">
        <v>43288</v>
      </c>
      <c r="B73" t="s">
        <v>10</v>
      </c>
      <c r="C73" t="s">
        <v>16</v>
      </c>
      <c r="D73">
        <v>4</v>
      </c>
      <c r="E73">
        <v>40</v>
      </c>
      <c r="F73">
        <v>0.06</v>
      </c>
      <c r="G73" t="s">
        <v>12</v>
      </c>
    </row>
    <row r="74" spans="1:7" x14ac:dyDescent="0.3">
      <c r="A74">
        <v>43288</v>
      </c>
      <c r="B74" t="s">
        <v>10</v>
      </c>
      <c r="C74" t="s">
        <v>11</v>
      </c>
      <c r="D74">
        <v>4</v>
      </c>
      <c r="E74">
        <v>40</v>
      </c>
      <c r="F74">
        <v>0.03</v>
      </c>
      <c r="G74" t="s">
        <v>14</v>
      </c>
    </row>
    <row r="75" spans="1:7" x14ac:dyDescent="0.3">
      <c r="A75">
        <v>43288</v>
      </c>
      <c r="B75" t="s">
        <v>10</v>
      </c>
      <c r="C75" t="s">
        <v>11</v>
      </c>
      <c r="D75">
        <v>15</v>
      </c>
      <c r="E75">
        <v>40</v>
      </c>
      <c r="F75">
        <v>0.02</v>
      </c>
      <c r="G75" t="s">
        <v>15</v>
      </c>
    </row>
    <row r="76" spans="1:7" x14ac:dyDescent="0.3">
      <c r="A76">
        <v>43288</v>
      </c>
      <c r="B76" t="s">
        <v>10</v>
      </c>
      <c r="C76" t="s">
        <v>16</v>
      </c>
      <c r="D76">
        <v>20</v>
      </c>
      <c r="E76">
        <v>40</v>
      </c>
      <c r="F76">
        <v>0.01</v>
      </c>
      <c r="G76" t="s">
        <v>17</v>
      </c>
    </row>
    <row r="77" spans="1:7" x14ac:dyDescent="0.3">
      <c r="A77">
        <v>43288</v>
      </c>
      <c r="B77" t="s">
        <v>20</v>
      </c>
      <c r="C77" t="s">
        <v>21</v>
      </c>
      <c r="D77">
        <v>14</v>
      </c>
      <c r="E77">
        <v>16</v>
      </c>
      <c r="F77">
        <v>0.06</v>
      </c>
      <c r="G77" t="s">
        <v>19</v>
      </c>
    </row>
    <row r="78" spans="1:7" x14ac:dyDescent="0.3">
      <c r="A78">
        <v>43289</v>
      </c>
      <c r="B78" t="s">
        <v>23</v>
      </c>
      <c r="C78" t="s">
        <v>16</v>
      </c>
      <c r="D78">
        <v>11</v>
      </c>
      <c r="E78">
        <v>150</v>
      </c>
      <c r="F78">
        <v>0.11</v>
      </c>
      <c r="G78" t="s">
        <v>22</v>
      </c>
    </row>
    <row r="79" spans="1:7" x14ac:dyDescent="0.3">
      <c r="A79">
        <v>43289</v>
      </c>
      <c r="B79" t="s">
        <v>23</v>
      </c>
      <c r="C79" t="s">
        <v>16</v>
      </c>
      <c r="D79">
        <v>9</v>
      </c>
      <c r="E79">
        <v>150</v>
      </c>
      <c r="F79">
        <v>0.02</v>
      </c>
      <c r="G79" t="s">
        <v>24</v>
      </c>
    </row>
    <row r="80" spans="1:7" x14ac:dyDescent="0.3">
      <c r="A80">
        <v>43289</v>
      </c>
      <c r="B80" t="s">
        <v>20</v>
      </c>
      <c r="C80" t="s">
        <v>21</v>
      </c>
      <c r="D80">
        <v>11</v>
      </c>
      <c r="E80">
        <v>16</v>
      </c>
      <c r="F80">
        <v>0.12</v>
      </c>
      <c r="G80" t="s">
        <v>25</v>
      </c>
    </row>
    <row r="81" spans="1:7" x14ac:dyDescent="0.3">
      <c r="A81">
        <v>43289</v>
      </c>
      <c r="B81" t="s">
        <v>10</v>
      </c>
      <c r="C81" t="s">
        <v>16</v>
      </c>
      <c r="D81">
        <v>13</v>
      </c>
      <c r="E81">
        <v>40</v>
      </c>
      <c r="F81">
        <v>0.02</v>
      </c>
      <c r="G81" t="s">
        <v>26</v>
      </c>
    </row>
    <row r="82" spans="1:7" x14ac:dyDescent="0.3">
      <c r="A82">
        <v>43289</v>
      </c>
      <c r="B82" t="s">
        <v>10</v>
      </c>
      <c r="C82" t="s">
        <v>16</v>
      </c>
      <c r="D82">
        <v>4</v>
      </c>
      <c r="E82">
        <v>40</v>
      </c>
      <c r="F82">
        <v>0.1</v>
      </c>
      <c r="G82" t="s">
        <v>27</v>
      </c>
    </row>
    <row r="83" spans="1:7" x14ac:dyDescent="0.3">
      <c r="A83">
        <v>43289</v>
      </c>
      <c r="B83" t="s">
        <v>13</v>
      </c>
      <c r="C83" t="s">
        <v>8</v>
      </c>
      <c r="D83">
        <v>3</v>
      </c>
      <c r="E83">
        <v>230</v>
      </c>
      <c r="F83">
        <v>0.11</v>
      </c>
      <c r="G83" t="s">
        <v>28</v>
      </c>
    </row>
    <row r="84" spans="1:7" x14ac:dyDescent="0.3">
      <c r="A84">
        <v>43289</v>
      </c>
      <c r="B84" t="s">
        <v>7</v>
      </c>
      <c r="C84" t="s">
        <v>16</v>
      </c>
      <c r="D84">
        <v>6</v>
      </c>
      <c r="E84">
        <v>80</v>
      </c>
      <c r="F84">
        <v>0.09</v>
      </c>
      <c r="G84" t="s">
        <v>9</v>
      </c>
    </row>
    <row r="85" spans="1:7" x14ac:dyDescent="0.3">
      <c r="A85">
        <v>43289</v>
      </c>
      <c r="B85" t="s">
        <v>23</v>
      </c>
      <c r="C85" t="s">
        <v>8</v>
      </c>
      <c r="D85">
        <v>9</v>
      </c>
      <c r="E85">
        <v>150</v>
      </c>
      <c r="F85">
        <v>0.1</v>
      </c>
      <c r="G85" t="s">
        <v>12</v>
      </c>
    </row>
    <row r="86" spans="1:7" x14ac:dyDescent="0.3">
      <c r="A86">
        <v>43289</v>
      </c>
      <c r="B86" t="s">
        <v>7</v>
      </c>
      <c r="C86" t="s">
        <v>11</v>
      </c>
      <c r="D86">
        <v>14</v>
      </c>
      <c r="E86">
        <v>80</v>
      </c>
      <c r="F86">
        <v>0.11</v>
      </c>
      <c r="G86" t="s">
        <v>14</v>
      </c>
    </row>
    <row r="87" spans="1:7" x14ac:dyDescent="0.3">
      <c r="A87">
        <v>43289</v>
      </c>
      <c r="B87" t="s">
        <v>7</v>
      </c>
      <c r="C87" t="s">
        <v>8</v>
      </c>
      <c r="D87">
        <v>18</v>
      </c>
      <c r="E87">
        <v>80</v>
      </c>
      <c r="F87">
        <v>0.02</v>
      </c>
      <c r="G87" t="s">
        <v>15</v>
      </c>
    </row>
    <row r="88" spans="1:7" x14ac:dyDescent="0.3">
      <c r="A88">
        <v>43289</v>
      </c>
      <c r="B88" t="s">
        <v>10</v>
      </c>
      <c r="C88" t="s">
        <v>8</v>
      </c>
      <c r="D88">
        <v>20</v>
      </c>
      <c r="E88">
        <v>40</v>
      </c>
      <c r="F88">
        <v>0.04</v>
      </c>
      <c r="G88" t="s">
        <v>17</v>
      </c>
    </row>
    <row r="89" spans="1:7" x14ac:dyDescent="0.3">
      <c r="A89">
        <v>43290</v>
      </c>
      <c r="B89" t="s">
        <v>20</v>
      </c>
      <c r="C89" t="s">
        <v>16</v>
      </c>
      <c r="D89">
        <v>8</v>
      </c>
      <c r="E89">
        <v>16</v>
      </c>
      <c r="F89">
        <v>0.03</v>
      </c>
      <c r="G89" t="s">
        <v>19</v>
      </c>
    </row>
    <row r="90" spans="1:7" x14ac:dyDescent="0.3">
      <c r="A90">
        <v>43290</v>
      </c>
      <c r="B90" t="s">
        <v>7</v>
      </c>
      <c r="C90" t="s">
        <v>11</v>
      </c>
      <c r="D90">
        <v>14</v>
      </c>
      <c r="E90">
        <v>80</v>
      </c>
      <c r="F90">
        <v>0.06</v>
      </c>
      <c r="G90" t="s">
        <v>22</v>
      </c>
    </row>
    <row r="91" spans="1:7" x14ac:dyDescent="0.3">
      <c r="A91">
        <v>43290</v>
      </c>
      <c r="B91" t="s">
        <v>23</v>
      </c>
      <c r="C91" t="s">
        <v>8</v>
      </c>
      <c r="D91">
        <v>20</v>
      </c>
      <c r="E91">
        <v>150</v>
      </c>
      <c r="F91">
        <v>0.01</v>
      </c>
      <c r="G91" t="s">
        <v>24</v>
      </c>
    </row>
    <row r="92" spans="1:7" x14ac:dyDescent="0.3">
      <c r="A92">
        <v>43290</v>
      </c>
      <c r="B92" t="s">
        <v>10</v>
      </c>
      <c r="C92" t="s">
        <v>18</v>
      </c>
      <c r="D92">
        <v>15</v>
      </c>
      <c r="E92">
        <v>40</v>
      </c>
      <c r="F92">
        <v>0.03</v>
      </c>
      <c r="G92" t="s">
        <v>25</v>
      </c>
    </row>
    <row r="93" spans="1:7" x14ac:dyDescent="0.3">
      <c r="A93">
        <v>43290</v>
      </c>
      <c r="B93" t="s">
        <v>10</v>
      </c>
      <c r="C93" t="s">
        <v>11</v>
      </c>
      <c r="D93">
        <v>18</v>
      </c>
      <c r="E93">
        <v>40</v>
      </c>
      <c r="F93">
        <v>0.08</v>
      </c>
      <c r="G93" t="s">
        <v>26</v>
      </c>
    </row>
    <row r="94" spans="1:7" x14ac:dyDescent="0.3">
      <c r="A94">
        <v>43290</v>
      </c>
      <c r="B94" t="s">
        <v>10</v>
      </c>
      <c r="C94" t="s">
        <v>21</v>
      </c>
      <c r="D94">
        <v>11</v>
      </c>
      <c r="E94">
        <v>40</v>
      </c>
      <c r="F94">
        <v>0.05</v>
      </c>
      <c r="G94" t="s">
        <v>27</v>
      </c>
    </row>
    <row r="95" spans="1:7" x14ac:dyDescent="0.3">
      <c r="A95">
        <v>43291</v>
      </c>
      <c r="B95" t="s">
        <v>10</v>
      </c>
      <c r="C95" t="s">
        <v>21</v>
      </c>
      <c r="D95">
        <v>23</v>
      </c>
      <c r="E95">
        <v>40</v>
      </c>
      <c r="F95">
        <v>0.04</v>
      </c>
      <c r="G95" t="s">
        <v>28</v>
      </c>
    </row>
    <row r="96" spans="1:7" x14ac:dyDescent="0.3">
      <c r="A96">
        <v>43291</v>
      </c>
      <c r="B96" t="s">
        <v>20</v>
      </c>
      <c r="C96" t="s">
        <v>21</v>
      </c>
      <c r="D96">
        <v>17</v>
      </c>
      <c r="E96">
        <v>16</v>
      </c>
      <c r="F96">
        <v>0.1</v>
      </c>
      <c r="G96" t="s">
        <v>9</v>
      </c>
    </row>
    <row r="97" spans="1:7" x14ac:dyDescent="0.3">
      <c r="A97">
        <v>43291</v>
      </c>
      <c r="B97" t="s">
        <v>20</v>
      </c>
      <c r="C97" t="s">
        <v>11</v>
      </c>
      <c r="D97">
        <v>4</v>
      </c>
      <c r="E97">
        <v>16</v>
      </c>
      <c r="F97">
        <v>7.0000000000000007E-2</v>
      </c>
      <c r="G97" t="s">
        <v>12</v>
      </c>
    </row>
    <row r="98" spans="1:7" x14ac:dyDescent="0.3">
      <c r="A98">
        <v>43291</v>
      </c>
      <c r="B98" t="s">
        <v>7</v>
      </c>
      <c r="C98" t="s">
        <v>16</v>
      </c>
      <c r="D98">
        <v>23</v>
      </c>
      <c r="E98">
        <v>80</v>
      </c>
      <c r="F98">
        <v>0.05</v>
      </c>
      <c r="G98" t="s">
        <v>14</v>
      </c>
    </row>
    <row r="99" spans="1:7" x14ac:dyDescent="0.3">
      <c r="A99">
        <v>43291</v>
      </c>
      <c r="B99" t="s">
        <v>13</v>
      </c>
      <c r="C99" t="s">
        <v>16</v>
      </c>
      <c r="D99">
        <v>10</v>
      </c>
      <c r="E99">
        <v>230</v>
      </c>
      <c r="F99">
        <v>0.02</v>
      </c>
      <c r="G99" t="s">
        <v>15</v>
      </c>
    </row>
    <row r="100" spans="1:7" x14ac:dyDescent="0.3">
      <c r="A100">
        <v>43291</v>
      </c>
      <c r="B100" t="s">
        <v>20</v>
      </c>
      <c r="C100" t="s">
        <v>16</v>
      </c>
      <c r="D100">
        <v>14</v>
      </c>
      <c r="E100">
        <v>16</v>
      </c>
      <c r="F100">
        <v>0.01</v>
      </c>
      <c r="G100" t="s">
        <v>17</v>
      </c>
    </row>
    <row r="101" spans="1:7" x14ac:dyDescent="0.3">
      <c r="A101">
        <v>43291</v>
      </c>
      <c r="B101" t="s">
        <v>10</v>
      </c>
      <c r="C101" t="s">
        <v>11</v>
      </c>
      <c r="D101">
        <v>19</v>
      </c>
      <c r="E101">
        <v>40</v>
      </c>
      <c r="F101">
        <v>0.1</v>
      </c>
      <c r="G101" t="s">
        <v>19</v>
      </c>
    </row>
    <row r="102" spans="1:7" x14ac:dyDescent="0.3">
      <c r="A102">
        <v>43291</v>
      </c>
      <c r="B102" t="s">
        <v>7</v>
      </c>
      <c r="C102" t="s">
        <v>21</v>
      </c>
      <c r="D102">
        <v>22</v>
      </c>
      <c r="E102">
        <v>80</v>
      </c>
      <c r="F102">
        <v>0.09</v>
      </c>
      <c r="G102" t="s">
        <v>22</v>
      </c>
    </row>
    <row r="103" spans="1:7" x14ac:dyDescent="0.3">
      <c r="A103">
        <v>43291</v>
      </c>
      <c r="B103" t="s">
        <v>20</v>
      </c>
      <c r="C103" t="s">
        <v>8</v>
      </c>
      <c r="D103">
        <v>18</v>
      </c>
      <c r="E103">
        <v>16</v>
      </c>
      <c r="F103">
        <v>0.05</v>
      </c>
      <c r="G103" t="s">
        <v>24</v>
      </c>
    </row>
    <row r="104" spans="1:7" x14ac:dyDescent="0.3">
      <c r="A104">
        <v>43291</v>
      </c>
      <c r="B104" t="s">
        <v>10</v>
      </c>
      <c r="C104" t="s">
        <v>8</v>
      </c>
      <c r="D104">
        <v>18</v>
      </c>
      <c r="E104">
        <v>40</v>
      </c>
      <c r="F104">
        <v>0.11</v>
      </c>
      <c r="G104" t="s">
        <v>25</v>
      </c>
    </row>
    <row r="105" spans="1:7" x14ac:dyDescent="0.3">
      <c r="A105">
        <v>43291</v>
      </c>
      <c r="B105" t="s">
        <v>10</v>
      </c>
      <c r="C105" t="s">
        <v>21</v>
      </c>
      <c r="D105">
        <v>21</v>
      </c>
      <c r="E105">
        <v>40</v>
      </c>
      <c r="F105">
        <v>0.01</v>
      </c>
      <c r="G105" t="s">
        <v>26</v>
      </c>
    </row>
    <row r="106" spans="1:7" x14ac:dyDescent="0.3">
      <c r="A106">
        <v>43291</v>
      </c>
      <c r="B106" t="s">
        <v>7</v>
      </c>
      <c r="C106" t="s">
        <v>8</v>
      </c>
      <c r="D106">
        <v>6</v>
      </c>
      <c r="E106">
        <v>80</v>
      </c>
      <c r="F106">
        <v>7.0000000000000007E-2</v>
      </c>
      <c r="G106" t="s">
        <v>27</v>
      </c>
    </row>
    <row r="107" spans="1:7" x14ac:dyDescent="0.3">
      <c r="A107">
        <v>43291</v>
      </c>
      <c r="B107" t="s">
        <v>23</v>
      </c>
      <c r="C107" t="s">
        <v>21</v>
      </c>
      <c r="D107">
        <v>17</v>
      </c>
      <c r="E107">
        <v>150</v>
      </c>
      <c r="F107">
        <v>0.02</v>
      </c>
      <c r="G107" t="s">
        <v>28</v>
      </c>
    </row>
    <row r="108" spans="1:7" x14ac:dyDescent="0.3">
      <c r="A108">
        <v>43291</v>
      </c>
      <c r="B108" t="s">
        <v>7</v>
      </c>
      <c r="C108" t="s">
        <v>16</v>
      </c>
      <c r="D108">
        <v>16</v>
      </c>
      <c r="E108">
        <v>80</v>
      </c>
      <c r="F108">
        <v>0.02</v>
      </c>
      <c r="G108" t="s">
        <v>9</v>
      </c>
    </row>
    <row r="109" spans="1:7" x14ac:dyDescent="0.3">
      <c r="A109">
        <v>43291</v>
      </c>
      <c r="B109" t="s">
        <v>10</v>
      </c>
      <c r="C109" t="s">
        <v>11</v>
      </c>
      <c r="D109">
        <v>15</v>
      </c>
      <c r="E109">
        <v>40</v>
      </c>
      <c r="F109">
        <v>0.04</v>
      </c>
      <c r="G109" t="s">
        <v>12</v>
      </c>
    </row>
    <row r="110" spans="1:7" x14ac:dyDescent="0.3">
      <c r="A110">
        <v>43291</v>
      </c>
      <c r="B110" t="s">
        <v>13</v>
      </c>
      <c r="C110" t="s">
        <v>18</v>
      </c>
      <c r="D110">
        <v>2</v>
      </c>
      <c r="E110">
        <v>230</v>
      </c>
      <c r="F110">
        <v>0.08</v>
      </c>
      <c r="G110" t="s">
        <v>14</v>
      </c>
    </row>
    <row r="111" spans="1:7" x14ac:dyDescent="0.3">
      <c r="A111">
        <v>43291</v>
      </c>
      <c r="B111" t="s">
        <v>10</v>
      </c>
      <c r="C111" t="s">
        <v>21</v>
      </c>
      <c r="D111">
        <v>3</v>
      </c>
      <c r="E111">
        <v>40</v>
      </c>
      <c r="F111">
        <v>0.03</v>
      </c>
      <c r="G111" t="s">
        <v>15</v>
      </c>
    </row>
    <row r="112" spans="1:7" x14ac:dyDescent="0.3">
      <c r="A112">
        <v>43291</v>
      </c>
      <c r="B112" t="s">
        <v>13</v>
      </c>
      <c r="C112" t="s">
        <v>21</v>
      </c>
      <c r="D112">
        <v>21</v>
      </c>
      <c r="E112">
        <v>230</v>
      </c>
      <c r="F112">
        <v>0.05</v>
      </c>
      <c r="G112" t="s">
        <v>17</v>
      </c>
    </row>
    <row r="113" spans="1:7" x14ac:dyDescent="0.3">
      <c r="A113">
        <v>43291</v>
      </c>
      <c r="B113" t="s">
        <v>23</v>
      </c>
      <c r="C113" t="s">
        <v>8</v>
      </c>
      <c r="D113">
        <v>11</v>
      </c>
      <c r="E113">
        <v>150</v>
      </c>
      <c r="F113">
        <v>0.05</v>
      </c>
      <c r="G113" t="s">
        <v>19</v>
      </c>
    </row>
    <row r="114" spans="1:7" x14ac:dyDescent="0.3">
      <c r="A114">
        <v>43292</v>
      </c>
      <c r="B114" t="s">
        <v>23</v>
      </c>
      <c r="C114" t="s">
        <v>11</v>
      </c>
      <c r="D114">
        <v>15</v>
      </c>
      <c r="E114">
        <v>150</v>
      </c>
      <c r="F114">
        <v>0.02</v>
      </c>
      <c r="G114" t="s">
        <v>22</v>
      </c>
    </row>
    <row r="115" spans="1:7" x14ac:dyDescent="0.3">
      <c r="A115">
        <v>43292</v>
      </c>
      <c r="B115" t="s">
        <v>7</v>
      </c>
      <c r="C115" t="s">
        <v>18</v>
      </c>
      <c r="D115">
        <v>16</v>
      </c>
      <c r="E115">
        <v>80</v>
      </c>
      <c r="F115">
        <v>0.1</v>
      </c>
      <c r="G115" t="s">
        <v>24</v>
      </c>
    </row>
    <row r="116" spans="1:7" x14ac:dyDescent="0.3">
      <c r="A116">
        <v>43292</v>
      </c>
      <c r="B116" t="s">
        <v>13</v>
      </c>
      <c r="C116" t="s">
        <v>21</v>
      </c>
      <c r="D116">
        <v>17</v>
      </c>
      <c r="E116">
        <v>230</v>
      </c>
      <c r="F116">
        <v>0.11</v>
      </c>
      <c r="G116" t="s">
        <v>25</v>
      </c>
    </row>
    <row r="117" spans="1:7" x14ac:dyDescent="0.3">
      <c r="A117">
        <v>43292</v>
      </c>
      <c r="B117" t="s">
        <v>10</v>
      </c>
      <c r="C117" t="s">
        <v>21</v>
      </c>
      <c r="D117">
        <v>16</v>
      </c>
      <c r="E117">
        <v>40</v>
      </c>
      <c r="F117">
        <v>0.11</v>
      </c>
      <c r="G117" t="s">
        <v>26</v>
      </c>
    </row>
    <row r="118" spans="1:7" x14ac:dyDescent="0.3">
      <c r="A118">
        <v>43292</v>
      </c>
      <c r="B118" t="s">
        <v>7</v>
      </c>
      <c r="C118" t="s">
        <v>18</v>
      </c>
      <c r="D118">
        <v>2</v>
      </c>
      <c r="E118">
        <v>80</v>
      </c>
      <c r="F118">
        <v>0.08</v>
      </c>
      <c r="G118" t="s">
        <v>27</v>
      </c>
    </row>
    <row r="119" spans="1:7" x14ac:dyDescent="0.3">
      <c r="A119">
        <v>43292</v>
      </c>
      <c r="B119" t="s">
        <v>23</v>
      </c>
      <c r="C119" t="s">
        <v>11</v>
      </c>
      <c r="D119">
        <v>22</v>
      </c>
      <c r="E119">
        <v>150</v>
      </c>
      <c r="F119">
        <v>0.02</v>
      </c>
      <c r="G119" t="s">
        <v>28</v>
      </c>
    </row>
    <row r="120" spans="1:7" x14ac:dyDescent="0.3">
      <c r="A120">
        <v>43292</v>
      </c>
      <c r="B120" t="s">
        <v>7</v>
      </c>
      <c r="C120" t="s">
        <v>8</v>
      </c>
      <c r="D120">
        <v>16</v>
      </c>
      <c r="E120">
        <v>80</v>
      </c>
      <c r="F120">
        <v>0.03</v>
      </c>
      <c r="G120" t="s">
        <v>9</v>
      </c>
    </row>
    <row r="121" spans="1:7" x14ac:dyDescent="0.3">
      <c r="A121">
        <v>43293</v>
      </c>
      <c r="B121" t="s">
        <v>20</v>
      </c>
      <c r="C121" t="s">
        <v>8</v>
      </c>
      <c r="D121">
        <v>20</v>
      </c>
      <c r="E121">
        <v>16</v>
      </c>
      <c r="F121">
        <v>0.11</v>
      </c>
      <c r="G121" t="s">
        <v>12</v>
      </c>
    </row>
    <row r="122" spans="1:7" x14ac:dyDescent="0.3">
      <c r="A122">
        <v>43293</v>
      </c>
      <c r="B122" t="s">
        <v>7</v>
      </c>
      <c r="C122" t="s">
        <v>21</v>
      </c>
      <c r="D122">
        <v>9</v>
      </c>
      <c r="E122">
        <v>80</v>
      </c>
      <c r="F122">
        <v>7.0000000000000007E-2</v>
      </c>
      <c r="G122" t="s">
        <v>14</v>
      </c>
    </row>
    <row r="123" spans="1:7" x14ac:dyDescent="0.3">
      <c r="A123">
        <v>43293</v>
      </c>
      <c r="B123" t="s">
        <v>13</v>
      </c>
      <c r="C123" t="s">
        <v>21</v>
      </c>
      <c r="D123">
        <v>5</v>
      </c>
      <c r="E123">
        <v>230</v>
      </c>
      <c r="F123">
        <v>0.12</v>
      </c>
      <c r="G123" t="s">
        <v>15</v>
      </c>
    </row>
    <row r="124" spans="1:7" x14ac:dyDescent="0.3">
      <c r="A124">
        <v>43293</v>
      </c>
      <c r="B124" t="s">
        <v>20</v>
      </c>
      <c r="C124" t="s">
        <v>8</v>
      </c>
      <c r="D124">
        <v>20</v>
      </c>
      <c r="E124">
        <v>16</v>
      </c>
      <c r="F124">
        <v>0.01</v>
      </c>
      <c r="G124" t="s">
        <v>17</v>
      </c>
    </row>
    <row r="125" spans="1:7" x14ac:dyDescent="0.3">
      <c r="A125">
        <v>43293</v>
      </c>
      <c r="B125" t="s">
        <v>20</v>
      </c>
      <c r="C125" t="s">
        <v>8</v>
      </c>
      <c r="D125">
        <v>16</v>
      </c>
      <c r="E125">
        <v>16</v>
      </c>
      <c r="F125">
        <v>0.03</v>
      </c>
      <c r="G125" t="s">
        <v>19</v>
      </c>
    </row>
    <row r="126" spans="1:7" x14ac:dyDescent="0.3">
      <c r="A126">
        <v>43293</v>
      </c>
      <c r="B126" t="s">
        <v>23</v>
      </c>
      <c r="C126" t="s">
        <v>18</v>
      </c>
      <c r="D126">
        <v>15</v>
      </c>
      <c r="E126">
        <v>150</v>
      </c>
      <c r="F126">
        <v>0.05</v>
      </c>
      <c r="G126" t="s">
        <v>22</v>
      </c>
    </row>
    <row r="127" spans="1:7" x14ac:dyDescent="0.3">
      <c r="A127">
        <v>43293</v>
      </c>
      <c r="B127" t="s">
        <v>13</v>
      </c>
      <c r="C127" t="s">
        <v>11</v>
      </c>
      <c r="D127">
        <v>19</v>
      </c>
      <c r="E127">
        <v>230</v>
      </c>
      <c r="F127">
        <v>0.11</v>
      </c>
      <c r="G127" t="s">
        <v>24</v>
      </c>
    </row>
    <row r="128" spans="1:7" x14ac:dyDescent="0.3">
      <c r="A128">
        <v>43294</v>
      </c>
      <c r="B128" t="s">
        <v>23</v>
      </c>
      <c r="C128" t="s">
        <v>16</v>
      </c>
      <c r="D128">
        <v>2</v>
      </c>
      <c r="E128">
        <v>150</v>
      </c>
      <c r="F128">
        <v>0.02</v>
      </c>
      <c r="G128" t="s">
        <v>25</v>
      </c>
    </row>
    <row r="129" spans="1:7" x14ac:dyDescent="0.3">
      <c r="A129">
        <v>43294</v>
      </c>
      <c r="B129" t="s">
        <v>7</v>
      </c>
      <c r="C129" t="s">
        <v>21</v>
      </c>
      <c r="D129">
        <v>16</v>
      </c>
      <c r="E129">
        <v>80</v>
      </c>
      <c r="F129">
        <v>0.05</v>
      </c>
      <c r="G129" t="s">
        <v>26</v>
      </c>
    </row>
    <row r="130" spans="1:7" x14ac:dyDescent="0.3">
      <c r="A130">
        <v>43294</v>
      </c>
      <c r="B130" t="s">
        <v>10</v>
      </c>
      <c r="C130" t="s">
        <v>16</v>
      </c>
      <c r="D130">
        <v>2</v>
      </c>
      <c r="E130">
        <v>40</v>
      </c>
      <c r="F130">
        <v>0.03</v>
      </c>
      <c r="G130" t="s">
        <v>27</v>
      </c>
    </row>
    <row r="131" spans="1:7" x14ac:dyDescent="0.3">
      <c r="A131">
        <v>43294</v>
      </c>
      <c r="B131" t="s">
        <v>7</v>
      </c>
      <c r="C131" t="s">
        <v>11</v>
      </c>
      <c r="D131">
        <v>5</v>
      </c>
      <c r="E131">
        <v>80</v>
      </c>
      <c r="F131">
        <v>0.04</v>
      </c>
      <c r="G131" t="s">
        <v>28</v>
      </c>
    </row>
    <row r="132" spans="1:7" x14ac:dyDescent="0.3">
      <c r="A132">
        <v>43294</v>
      </c>
      <c r="B132" t="s">
        <v>13</v>
      </c>
      <c r="C132" t="s">
        <v>18</v>
      </c>
      <c r="D132">
        <v>17</v>
      </c>
      <c r="E132">
        <v>230</v>
      </c>
      <c r="F132">
        <v>0.12</v>
      </c>
      <c r="G132" t="s">
        <v>9</v>
      </c>
    </row>
    <row r="133" spans="1:7" x14ac:dyDescent="0.3">
      <c r="A133">
        <v>43294</v>
      </c>
      <c r="B133" t="s">
        <v>7</v>
      </c>
      <c r="C133" t="s">
        <v>8</v>
      </c>
      <c r="D133">
        <v>8</v>
      </c>
      <c r="E133">
        <v>80</v>
      </c>
      <c r="F133">
        <v>0.08</v>
      </c>
      <c r="G133" t="s">
        <v>12</v>
      </c>
    </row>
    <row r="134" spans="1:7" x14ac:dyDescent="0.3">
      <c r="A134">
        <v>43294</v>
      </c>
      <c r="B134" t="s">
        <v>10</v>
      </c>
      <c r="C134" t="s">
        <v>11</v>
      </c>
      <c r="D134">
        <v>4</v>
      </c>
      <c r="E134">
        <v>40</v>
      </c>
      <c r="F134">
        <v>0.06</v>
      </c>
      <c r="G134" t="s">
        <v>14</v>
      </c>
    </row>
    <row r="135" spans="1:7" x14ac:dyDescent="0.3">
      <c r="A135">
        <v>43294</v>
      </c>
      <c r="B135" t="s">
        <v>20</v>
      </c>
      <c r="C135" t="s">
        <v>16</v>
      </c>
      <c r="D135">
        <v>17</v>
      </c>
      <c r="E135">
        <v>16</v>
      </c>
      <c r="F135">
        <v>0.05</v>
      </c>
      <c r="G135" t="s">
        <v>15</v>
      </c>
    </row>
    <row r="136" spans="1:7" x14ac:dyDescent="0.3">
      <c r="A136">
        <v>43294</v>
      </c>
      <c r="B136" t="s">
        <v>13</v>
      </c>
      <c r="C136" t="s">
        <v>18</v>
      </c>
      <c r="D136">
        <v>8</v>
      </c>
      <c r="E136">
        <v>230</v>
      </c>
      <c r="F136">
        <v>0.01</v>
      </c>
      <c r="G136" t="s">
        <v>17</v>
      </c>
    </row>
    <row r="137" spans="1:7" x14ac:dyDescent="0.3">
      <c r="A137">
        <v>43294</v>
      </c>
      <c r="B137" t="s">
        <v>20</v>
      </c>
      <c r="C137" t="s">
        <v>21</v>
      </c>
      <c r="D137">
        <v>19</v>
      </c>
      <c r="E137">
        <v>16</v>
      </c>
      <c r="F137">
        <v>0.02</v>
      </c>
      <c r="G137" t="s">
        <v>19</v>
      </c>
    </row>
    <row r="138" spans="1:7" x14ac:dyDescent="0.3">
      <c r="A138">
        <v>43295</v>
      </c>
      <c r="B138" t="s">
        <v>10</v>
      </c>
      <c r="C138" t="s">
        <v>8</v>
      </c>
      <c r="D138">
        <v>18</v>
      </c>
      <c r="E138">
        <v>40</v>
      </c>
      <c r="F138">
        <v>0.06</v>
      </c>
      <c r="G138" t="s">
        <v>22</v>
      </c>
    </row>
    <row r="139" spans="1:7" x14ac:dyDescent="0.3">
      <c r="A139">
        <v>43295</v>
      </c>
      <c r="B139" t="s">
        <v>23</v>
      </c>
      <c r="C139" t="s">
        <v>21</v>
      </c>
      <c r="D139">
        <v>23</v>
      </c>
      <c r="E139">
        <v>150</v>
      </c>
      <c r="F139">
        <v>0.08</v>
      </c>
      <c r="G139" t="s">
        <v>24</v>
      </c>
    </row>
    <row r="140" spans="1:7" x14ac:dyDescent="0.3">
      <c r="A140">
        <v>43295</v>
      </c>
      <c r="B140" t="s">
        <v>13</v>
      </c>
      <c r="C140" t="s">
        <v>8</v>
      </c>
      <c r="D140">
        <v>5</v>
      </c>
      <c r="E140">
        <v>230</v>
      </c>
      <c r="F140">
        <v>0.1</v>
      </c>
      <c r="G140" t="s">
        <v>25</v>
      </c>
    </row>
    <row r="141" spans="1:7" x14ac:dyDescent="0.3">
      <c r="A141">
        <v>43295</v>
      </c>
      <c r="B141" t="s">
        <v>7</v>
      </c>
      <c r="C141" t="s">
        <v>18</v>
      </c>
      <c r="D141">
        <v>21</v>
      </c>
      <c r="E141">
        <v>80</v>
      </c>
      <c r="F141">
        <v>0.02</v>
      </c>
      <c r="G141" t="s">
        <v>26</v>
      </c>
    </row>
    <row r="142" spans="1:7" x14ac:dyDescent="0.3">
      <c r="A142">
        <v>43295</v>
      </c>
      <c r="B142" t="s">
        <v>20</v>
      </c>
      <c r="C142" t="s">
        <v>16</v>
      </c>
      <c r="D142">
        <v>6</v>
      </c>
      <c r="E142">
        <v>16</v>
      </c>
      <c r="F142">
        <v>7.0000000000000007E-2</v>
      </c>
      <c r="G142" t="s">
        <v>9</v>
      </c>
    </row>
    <row r="143" spans="1:7" x14ac:dyDescent="0.3">
      <c r="A143">
        <v>43295</v>
      </c>
      <c r="B143" t="s">
        <v>10</v>
      </c>
      <c r="C143" t="s">
        <v>8</v>
      </c>
      <c r="D143">
        <v>9</v>
      </c>
      <c r="E143">
        <v>40</v>
      </c>
      <c r="F143">
        <v>0.01</v>
      </c>
      <c r="G143" t="s">
        <v>12</v>
      </c>
    </row>
    <row r="144" spans="1:7" x14ac:dyDescent="0.3">
      <c r="A144">
        <v>43295</v>
      </c>
      <c r="B144" t="s">
        <v>13</v>
      </c>
      <c r="C144" t="s">
        <v>11</v>
      </c>
      <c r="D144">
        <v>9</v>
      </c>
      <c r="E144">
        <v>230</v>
      </c>
      <c r="F144">
        <v>0.03</v>
      </c>
      <c r="G144" t="s">
        <v>14</v>
      </c>
    </row>
    <row r="145" spans="1:7" x14ac:dyDescent="0.3">
      <c r="A145">
        <v>43295</v>
      </c>
      <c r="B145" t="s">
        <v>13</v>
      </c>
      <c r="C145" t="s">
        <v>16</v>
      </c>
      <c r="D145">
        <v>5</v>
      </c>
      <c r="E145">
        <v>230</v>
      </c>
      <c r="F145">
        <v>0.1</v>
      </c>
      <c r="G145" t="s">
        <v>15</v>
      </c>
    </row>
    <row r="146" spans="1:7" x14ac:dyDescent="0.3">
      <c r="A146">
        <v>43295</v>
      </c>
      <c r="B146" t="s">
        <v>10</v>
      </c>
      <c r="C146" t="s">
        <v>18</v>
      </c>
      <c r="D146">
        <v>7</v>
      </c>
      <c r="E146">
        <v>40</v>
      </c>
      <c r="F146">
        <v>0.11</v>
      </c>
      <c r="G146" t="s">
        <v>17</v>
      </c>
    </row>
    <row r="147" spans="1:7" x14ac:dyDescent="0.3">
      <c r="A147">
        <v>43295</v>
      </c>
      <c r="B147" t="s">
        <v>13</v>
      </c>
      <c r="C147" t="s">
        <v>8</v>
      </c>
      <c r="D147">
        <v>20</v>
      </c>
      <c r="E147">
        <v>230</v>
      </c>
      <c r="F147">
        <v>0.04</v>
      </c>
      <c r="G147" t="s">
        <v>19</v>
      </c>
    </row>
    <row r="148" spans="1:7" x14ac:dyDescent="0.3">
      <c r="A148">
        <v>43295</v>
      </c>
      <c r="B148" t="s">
        <v>23</v>
      </c>
      <c r="C148" t="s">
        <v>8</v>
      </c>
      <c r="D148">
        <v>22</v>
      </c>
      <c r="E148">
        <v>150</v>
      </c>
      <c r="F148">
        <v>7.0000000000000007E-2</v>
      </c>
      <c r="G148" t="s">
        <v>22</v>
      </c>
    </row>
    <row r="149" spans="1:7" x14ac:dyDescent="0.3">
      <c r="A149">
        <v>43296</v>
      </c>
      <c r="B149" t="s">
        <v>13</v>
      </c>
      <c r="C149" t="s">
        <v>16</v>
      </c>
      <c r="D149">
        <v>6</v>
      </c>
      <c r="E149">
        <v>230</v>
      </c>
      <c r="F149">
        <v>0.05</v>
      </c>
      <c r="G149" t="s">
        <v>24</v>
      </c>
    </row>
    <row r="150" spans="1:7" x14ac:dyDescent="0.3">
      <c r="A150">
        <v>43296</v>
      </c>
      <c r="B150" t="s">
        <v>13</v>
      </c>
      <c r="C150" t="s">
        <v>16</v>
      </c>
      <c r="D150">
        <v>15</v>
      </c>
      <c r="E150">
        <v>230</v>
      </c>
      <c r="F150">
        <v>0.11</v>
      </c>
      <c r="G150" t="s">
        <v>25</v>
      </c>
    </row>
    <row r="151" spans="1:7" x14ac:dyDescent="0.3">
      <c r="A151">
        <v>43296</v>
      </c>
      <c r="B151" t="s">
        <v>10</v>
      </c>
      <c r="C151" t="s">
        <v>11</v>
      </c>
      <c r="D151">
        <v>8</v>
      </c>
      <c r="E151">
        <v>40</v>
      </c>
      <c r="F151">
        <v>0.09</v>
      </c>
      <c r="G151" t="s">
        <v>26</v>
      </c>
    </row>
    <row r="152" spans="1:7" x14ac:dyDescent="0.3">
      <c r="A152">
        <v>43296</v>
      </c>
      <c r="B152" t="s">
        <v>10</v>
      </c>
      <c r="C152" t="s">
        <v>8</v>
      </c>
      <c r="D152">
        <v>5</v>
      </c>
      <c r="E152">
        <v>40</v>
      </c>
      <c r="F152">
        <v>0.06</v>
      </c>
      <c r="G152" t="s">
        <v>27</v>
      </c>
    </row>
    <row r="153" spans="1:7" x14ac:dyDescent="0.3">
      <c r="A153">
        <v>43296</v>
      </c>
      <c r="B153" t="s">
        <v>7</v>
      </c>
      <c r="C153" t="s">
        <v>21</v>
      </c>
      <c r="D153">
        <v>6</v>
      </c>
      <c r="E153">
        <v>80</v>
      </c>
      <c r="F153">
        <v>0.09</v>
      </c>
      <c r="G153" t="s">
        <v>28</v>
      </c>
    </row>
    <row r="154" spans="1:7" x14ac:dyDescent="0.3">
      <c r="A154">
        <v>43296</v>
      </c>
      <c r="B154" t="s">
        <v>10</v>
      </c>
      <c r="C154" t="s">
        <v>18</v>
      </c>
      <c r="D154">
        <v>22</v>
      </c>
      <c r="E154">
        <v>40</v>
      </c>
      <c r="F154">
        <v>0.01</v>
      </c>
      <c r="G154" t="s">
        <v>9</v>
      </c>
    </row>
    <row r="155" spans="1:7" x14ac:dyDescent="0.3">
      <c r="A155">
        <v>43296</v>
      </c>
      <c r="B155" t="s">
        <v>20</v>
      </c>
      <c r="C155" t="s">
        <v>8</v>
      </c>
      <c r="D155">
        <v>7</v>
      </c>
      <c r="E155">
        <v>16</v>
      </c>
      <c r="F155">
        <v>0.08</v>
      </c>
      <c r="G155" t="s">
        <v>12</v>
      </c>
    </row>
    <row r="156" spans="1:7" x14ac:dyDescent="0.3">
      <c r="A156">
        <v>43296</v>
      </c>
      <c r="B156" t="s">
        <v>23</v>
      </c>
      <c r="C156" t="s">
        <v>16</v>
      </c>
      <c r="D156">
        <v>22</v>
      </c>
      <c r="E156">
        <v>150</v>
      </c>
      <c r="F156">
        <v>0.04</v>
      </c>
      <c r="G156" t="s">
        <v>14</v>
      </c>
    </row>
    <row r="157" spans="1:7" x14ac:dyDescent="0.3">
      <c r="A157">
        <v>43296</v>
      </c>
      <c r="B157" t="s">
        <v>20</v>
      </c>
      <c r="C157" t="s">
        <v>18</v>
      </c>
      <c r="D157">
        <v>15</v>
      </c>
      <c r="E157">
        <v>16</v>
      </c>
      <c r="F157">
        <v>0.12</v>
      </c>
      <c r="G157" t="s">
        <v>15</v>
      </c>
    </row>
    <row r="158" spans="1:7" x14ac:dyDescent="0.3">
      <c r="A158">
        <v>43296</v>
      </c>
      <c r="B158" t="s">
        <v>7</v>
      </c>
      <c r="C158" t="s">
        <v>16</v>
      </c>
      <c r="D158">
        <v>20</v>
      </c>
      <c r="E158">
        <v>80</v>
      </c>
      <c r="F158">
        <v>7.0000000000000007E-2</v>
      </c>
      <c r="G158" t="s">
        <v>17</v>
      </c>
    </row>
    <row r="159" spans="1:7" x14ac:dyDescent="0.3">
      <c r="A159">
        <v>43296</v>
      </c>
      <c r="B159" t="s">
        <v>7</v>
      </c>
      <c r="C159" t="s">
        <v>16</v>
      </c>
      <c r="D159">
        <v>7</v>
      </c>
      <c r="E159">
        <v>80</v>
      </c>
      <c r="F159">
        <v>0.05</v>
      </c>
      <c r="G159" t="s">
        <v>19</v>
      </c>
    </row>
    <row r="160" spans="1:7" x14ac:dyDescent="0.3">
      <c r="A160">
        <v>43296</v>
      </c>
      <c r="B160" t="s">
        <v>7</v>
      </c>
      <c r="C160" t="s">
        <v>11</v>
      </c>
      <c r="D160">
        <v>10</v>
      </c>
      <c r="E160">
        <v>80</v>
      </c>
      <c r="F160">
        <v>0.11</v>
      </c>
      <c r="G160" t="s">
        <v>22</v>
      </c>
    </row>
    <row r="161" spans="1:7" x14ac:dyDescent="0.3">
      <c r="A161">
        <v>43296</v>
      </c>
      <c r="B161" t="s">
        <v>7</v>
      </c>
      <c r="C161" t="s">
        <v>11</v>
      </c>
      <c r="D161">
        <v>2</v>
      </c>
      <c r="E161">
        <v>80</v>
      </c>
      <c r="F161">
        <v>7.0000000000000007E-2</v>
      </c>
      <c r="G161" t="s">
        <v>24</v>
      </c>
    </row>
    <row r="162" spans="1:7" x14ac:dyDescent="0.3">
      <c r="A162">
        <v>43296</v>
      </c>
      <c r="B162" t="s">
        <v>20</v>
      </c>
      <c r="C162" t="s">
        <v>21</v>
      </c>
      <c r="D162">
        <v>23</v>
      </c>
      <c r="E162">
        <v>16</v>
      </c>
      <c r="F162">
        <v>0.01</v>
      </c>
      <c r="G162" t="s">
        <v>25</v>
      </c>
    </row>
    <row r="163" spans="1:7" x14ac:dyDescent="0.3">
      <c r="A163">
        <v>43296</v>
      </c>
      <c r="B163" t="s">
        <v>13</v>
      </c>
      <c r="C163" t="s">
        <v>11</v>
      </c>
      <c r="D163">
        <v>12</v>
      </c>
      <c r="E163">
        <v>230</v>
      </c>
      <c r="F163">
        <v>0.03</v>
      </c>
      <c r="G163" t="s">
        <v>26</v>
      </c>
    </row>
    <row r="164" spans="1:7" x14ac:dyDescent="0.3">
      <c r="A164">
        <v>43297</v>
      </c>
      <c r="B164" t="s">
        <v>13</v>
      </c>
      <c r="C164" t="s">
        <v>8</v>
      </c>
      <c r="D164">
        <v>7</v>
      </c>
      <c r="E164">
        <v>230</v>
      </c>
      <c r="F164">
        <v>0.08</v>
      </c>
      <c r="G164" t="s">
        <v>27</v>
      </c>
    </row>
    <row r="165" spans="1:7" x14ac:dyDescent="0.3">
      <c r="A165">
        <v>43297</v>
      </c>
      <c r="B165" t="s">
        <v>10</v>
      </c>
      <c r="C165" t="s">
        <v>18</v>
      </c>
      <c r="D165">
        <v>11</v>
      </c>
      <c r="E165">
        <v>40</v>
      </c>
      <c r="F165">
        <v>0.06</v>
      </c>
      <c r="G165" t="s">
        <v>28</v>
      </c>
    </row>
    <row r="166" spans="1:7" x14ac:dyDescent="0.3">
      <c r="A166">
        <v>43297</v>
      </c>
      <c r="B166" t="s">
        <v>13</v>
      </c>
      <c r="C166" t="s">
        <v>11</v>
      </c>
      <c r="D166">
        <v>7</v>
      </c>
      <c r="E166">
        <v>230</v>
      </c>
      <c r="F166">
        <v>0.08</v>
      </c>
      <c r="G166" t="s">
        <v>9</v>
      </c>
    </row>
    <row r="167" spans="1:7" x14ac:dyDescent="0.3">
      <c r="A167">
        <v>43297</v>
      </c>
      <c r="B167" t="s">
        <v>7</v>
      </c>
      <c r="C167" t="s">
        <v>8</v>
      </c>
      <c r="D167">
        <v>8</v>
      </c>
      <c r="E167">
        <v>80</v>
      </c>
      <c r="F167">
        <v>0.09</v>
      </c>
      <c r="G167" t="s">
        <v>12</v>
      </c>
    </row>
    <row r="168" spans="1:7" x14ac:dyDescent="0.3">
      <c r="A168">
        <v>43297</v>
      </c>
      <c r="B168" t="s">
        <v>7</v>
      </c>
      <c r="C168" t="s">
        <v>18</v>
      </c>
      <c r="D168">
        <v>16</v>
      </c>
      <c r="E168">
        <v>80</v>
      </c>
      <c r="F168">
        <v>7.0000000000000007E-2</v>
      </c>
      <c r="G168" t="s">
        <v>14</v>
      </c>
    </row>
    <row r="169" spans="1:7" x14ac:dyDescent="0.3">
      <c r="A169">
        <v>43297</v>
      </c>
      <c r="B169" t="s">
        <v>7</v>
      </c>
      <c r="C169" t="s">
        <v>16</v>
      </c>
      <c r="D169">
        <v>16</v>
      </c>
      <c r="E169">
        <v>80</v>
      </c>
      <c r="F169">
        <v>0.04</v>
      </c>
      <c r="G169" t="s">
        <v>15</v>
      </c>
    </row>
    <row r="170" spans="1:7" x14ac:dyDescent="0.3">
      <c r="A170">
        <v>43297</v>
      </c>
      <c r="B170" t="s">
        <v>20</v>
      </c>
      <c r="C170" t="s">
        <v>16</v>
      </c>
      <c r="D170">
        <v>9</v>
      </c>
      <c r="E170">
        <v>16</v>
      </c>
      <c r="F170">
        <v>0.05</v>
      </c>
      <c r="G170" t="s">
        <v>17</v>
      </c>
    </row>
    <row r="171" spans="1:7" x14ac:dyDescent="0.3">
      <c r="A171">
        <v>43297</v>
      </c>
      <c r="B171" t="s">
        <v>23</v>
      </c>
      <c r="C171" t="s">
        <v>21</v>
      </c>
      <c r="D171">
        <v>11</v>
      </c>
      <c r="E171">
        <v>150</v>
      </c>
      <c r="F171">
        <v>0.09</v>
      </c>
      <c r="G171" t="s">
        <v>19</v>
      </c>
    </row>
    <row r="172" spans="1:7" x14ac:dyDescent="0.3">
      <c r="A172">
        <v>43297</v>
      </c>
      <c r="B172" t="s">
        <v>20</v>
      </c>
      <c r="C172" t="s">
        <v>8</v>
      </c>
      <c r="D172">
        <v>4</v>
      </c>
      <c r="E172">
        <v>16</v>
      </c>
      <c r="F172">
        <v>0.12</v>
      </c>
      <c r="G172" t="s">
        <v>22</v>
      </c>
    </row>
    <row r="173" spans="1:7" x14ac:dyDescent="0.3">
      <c r="A173">
        <v>43297</v>
      </c>
      <c r="B173" t="s">
        <v>10</v>
      </c>
      <c r="C173" t="s">
        <v>18</v>
      </c>
      <c r="D173">
        <v>15</v>
      </c>
      <c r="E173">
        <v>40</v>
      </c>
      <c r="F173">
        <v>0.03</v>
      </c>
      <c r="G173" t="s">
        <v>24</v>
      </c>
    </row>
    <row r="174" spans="1:7" x14ac:dyDescent="0.3">
      <c r="A174">
        <v>43297</v>
      </c>
      <c r="B174" t="s">
        <v>10</v>
      </c>
      <c r="C174" t="s">
        <v>21</v>
      </c>
      <c r="D174">
        <v>20</v>
      </c>
      <c r="E174">
        <v>40</v>
      </c>
      <c r="F174">
        <v>0.03</v>
      </c>
      <c r="G174" t="s">
        <v>25</v>
      </c>
    </row>
    <row r="175" spans="1:7" x14ac:dyDescent="0.3">
      <c r="A175">
        <v>43298</v>
      </c>
      <c r="B175" t="s">
        <v>23</v>
      </c>
      <c r="C175" t="s">
        <v>16</v>
      </c>
      <c r="D175">
        <v>9</v>
      </c>
      <c r="E175">
        <v>150</v>
      </c>
      <c r="F175">
        <v>0.06</v>
      </c>
      <c r="G175" t="s">
        <v>26</v>
      </c>
    </row>
    <row r="176" spans="1:7" x14ac:dyDescent="0.3">
      <c r="A176">
        <v>43298</v>
      </c>
      <c r="B176" t="s">
        <v>10</v>
      </c>
      <c r="C176" t="s">
        <v>11</v>
      </c>
      <c r="D176">
        <v>23</v>
      </c>
      <c r="E176">
        <v>40</v>
      </c>
      <c r="F176">
        <v>0.06</v>
      </c>
      <c r="G176" t="s">
        <v>27</v>
      </c>
    </row>
    <row r="177" spans="1:7" x14ac:dyDescent="0.3">
      <c r="A177">
        <v>43298</v>
      </c>
      <c r="B177" t="s">
        <v>7</v>
      </c>
      <c r="C177" t="s">
        <v>21</v>
      </c>
      <c r="D177">
        <v>13</v>
      </c>
      <c r="E177">
        <v>80</v>
      </c>
      <c r="F177">
        <v>0.05</v>
      </c>
      <c r="G177" t="s">
        <v>28</v>
      </c>
    </row>
    <row r="178" spans="1:7" x14ac:dyDescent="0.3">
      <c r="A178">
        <v>43298</v>
      </c>
      <c r="B178" t="s">
        <v>20</v>
      </c>
      <c r="C178" t="s">
        <v>8</v>
      </c>
      <c r="D178">
        <v>22</v>
      </c>
      <c r="E178">
        <v>16</v>
      </c>
      <c r="F178">
        <v>0.01</v>
      </c>
      <c r="G178" t="s">
        <v>9</v>
      </c>
    </row>
    <row r="179" spans="1:7" x14ac:dyDescent="0.3">
      <c r="A179">
        <v>43298</v>
      </c>
      <c r="B179" t="s">
        <v>10</v>
      </c>
      <c r="C179" t="s">
        <v>8</v>
      </c>
      <c r="D179">
        <v>19</v>
      </c>
      <c r="E179">
        <v>40</v>
      </c>
      <c r="F179">
        <v>0.04</v>
      </c>
      <c r="G179" t="s">
        <v>12</v>
      </c>
    </row>
    <row r="180" spans="1:7" x14ac:dyDescent="0.3">
      <c r="A180">
        <v>43298</v>
      </c>
      <c r="B180" t="s">
        <v>7</v>
      </c>
      <c r="C180" t="s">
        <v>18</v>
      </c>
      <c r="D180">
        <v>4</v>
      </c>
      <c r="E180">
        <v>80</v>
      </c>
      <c r="F180">
        <v>0.11</v>
      </c>
      <c r="G180" t="s">
        <v>14</v>
      </c>
    </row>
    <row r="181" spans="1:7" x14ac:dyDescent="0.3">
      <c r="A181">
        <v>43298</v>
      </c>
      <c r="B181" t="s">
        <v>20</v>
      </c>
      <c r="C181" t="s">
        <v>8</v>
      </c>
      <c r="D181">
        <v>12</v>
      </c>
      <c r="E181">
        <v>16</v>
      </c>
      <c r="F181">
        <v>0.11</v>
      </c>
      <c r="G181" t="s">
        <v>15</v>
      </c>
    </row>
    <row r="182" spans="1:7" x14ac:dyDescent="0.3">
      <c r="A182">
        <v>43298</v>
      </c>
      <c r="B182" t="s">
        <v>23</v>
      </c>
      <c r="C182" t="s">
        <v>11</v>
      </c>
      <c r="D182">
        <v>16</v>
      </c>
      <c r="E182">
        <v>150</v>
      </c>
      <c r="F182">
        <v>0.08</v>
      </c>
      <c r="G182" t="s">
        <v>17</v>
      </c>
    </row>
    <row r="183" spans="1:7" x14ac:dyDescent="0.3">
      <c r="A183">
        <v>43298</v>
      </c>
      <c r="B183" t="s">
        <v>7</v>
      </c>
      <c r="C183" t="s">
        <v>8</v>
      </c>
      <c r="D183">
        <v>7</v>
      </c>
      <c r="E183">
        <v>80</v>
      </c>
      <c r="F183">
        <v>0.02</v>
      </c>
      <c r="G183" t="s">
        <v>19</v>
      </c>
    </row>
    <row r="184" spans="1:7" x14ac:dyDescent="0.3">
      <c r="A184">
        <v>43298</v>
      </c>
      <c r="B184" t="s">
        <v>10</v>
      </c>
      <c r="C184" t="s">
        <v>21</v>
      </c>
      <c r="D184">
        <v>20</v>
      </c>
      <c r="E184">
        <v>40</v>
      </c>
      <c r="F184">
        <v>7.0000000000000007E-2</v>
      </c>
      <c r="G184" t="s">
        <v>22</v>
      </c>
    </row>
    <row r="185" spans="1:7" x14ac:dyDescent="0.3">
      <c r="A185">
        <v>43298</v>
      </c>
      <c r="B185" t="s">
        <v>7</v>
      </c>
      <c r="C185" t="s">
        <v>11</v>
      </c>
      <c r="D185">
        <v>15</v>
      </c>
      <c r="E185">
        <v>80</v>
      </c>
      <c r="F185">
        <v>0.12</v>
      </c>
      <c r="G185" t="s">
        <v>24</v>
      </c>
    </row>
    <row r="186" spans="1:7" x14ac:dyDescent="0.3">
      <c r="A186">
        <v>43298</v>
      </c>
      <c r="B186" t="s">
        <v>10</v>
      </c>
      <c r="C186" t="s">
        <v>8</v>
      </c>
      <c r="D186">
        <v>5</v>
      </c>
      <c r="E186">
        <v>40</v>
      </c>
      <c r="F186">
        <v>0.09</v>
      </c>
      <c r="G186" t="s">
        <v>25</v>
      </c>
    </row>
    <row r="187" spans="1:7" x14ac:dyDescent="0.3">
      <c r="A187">
        <v>43298</v>
      </c>
      <c r="B187" t="s">
        <v>20</v>
      </c>
      <c r="C187" t="s">
        <v>21</v>
      </c>
      <c r="D187">
        <v>12</v>
      </c>
      <c r="E187">
        <v>16</v>
      </c>
      <c r="F187">
        <v>0.04</v>
      </c>
      <c r="G187" t="s">
        <v>26</v>
      </c>
    </row>
    <row r="188" spans="1:7" x14ac:dyDescent="0.3">
      <c r="A188">
        <v>43299</v>
      </c>
      <c r="B188" t="s">
        <v>23</v>
      </c>
      <c r="C188" t="s">
        <v>18</v>
      </c>
      <c r="D188">
        <v>3</v>
      </c>
      <c r="E188">
        <v>150</v>
      </c>
      <c r="F188">
        <v>0.01</v>
      </c>
      <c r="G188" t="s">
        <v>27</v>
      </c>
    </row>
    <row r="189" spans="1:7" x14ac:dyDescent="0.3">
      <c r="A189">
        <v>43299</v>
      </c>
      <c r="B189" t="s">
        <v>10</v>
      </c>
      <c r="C189" t="s">
        <v>21</v>
      </c>
      <c r="D189">
        <v>7</v>
      </c>
      <c r="E189">
        <v>40</v>
      </c>
      <c r="F189">
        <v>0.12</v>
      </c>
      <c r="G189" t="s">
        <v>28</v>
      </c>
    </row>
    <row r="190" spans="1:7" x14ac:dyDescent="0.3">
      <c r="A190">
        <v>43299</v>
      </c>
      <c r="B190" t="s">
        <v>7</v>
      </c>
      <c r="C190" t="s">
        <v>11</v>
      </c>
      <c r="D190">
        <v>2</v>
      </c>
      <c r="E190">
        <v>80</v>
      </c>
      <c r="F190">
        <v>0.04</v>
      </c>
      <c r="G190" t="s">
        <v>9</v>
      </c>
    </row>
    <row r="191" spans="1:7" x14ac:dyDescent="0.3">
      <c r="A191">
        <v>43299</v>
      </c>
      <c r="B191" t="s">
        <v>10</v>
      </c>
      <c r="C191" t="s">
        <v>18</v>
      </c>
      <c r="D191">
        <v>6</v>
      </c>
      <c r="E191">
        <v>40</v>
      </c>
      <c r="F191">
        <v>7.0000000000000007E-2</v>
      </c>
      <c r="G191" t="s">
        <v>12</v>
      </c>
    </row>
    <row r="192" spans="1:7" x14ac:dyDescent="0.3">
      <c r="A192">
        <v>43299</v>
      </c>
      <c r="B192" t="s">
        <v>20</v>
      </c>
      <c r="C192" t="s">
        <v>16</v>
      </c>
      <c r="D192">
        <v>6</v>
      </c>
      <c r="E192">
        <v>16</v>
      </c>
      <c r="F192">
        <v>0.06</v>
      </c>
      <c r="G192" t="s">
        <v>14</v>
      </c>
    </row>
    <row r="193" spans="1:7" x14ac:dyDescent="0.3">
      <c r="A193">
        <v>43299</v>
      </c>
      <c r="B193" t="s">
        <v>20</v>
      </c>
      <c r="C193" t="s">
        <v>8</v>
      </c>
      <c r="D193">
        <v>7</v>
      </c>
      <c r="E193">
        <v>16</v>
      </c>
      <c r="F193">
        <v>0.02</v>
      </c>
      <c r="G193" t="s">
        <v>15</v>
      </c>
    </row>
    <row r="194" spans="1:7" x14ac:dyDescent="0.3">
      <c r="A194">
        <v>43299</v>
      </c>
      <c r="B194" t="s">
        <v>20</v>
      </c>
      <c r="C194" t="s">
        <v>11</v>
      </c>
      <c r="D194">
        <v>20</v>
      </c>
      <c r="E194">
        <v>16</v>
      </c>
      <c r="F194">
        <v>0.06</v>
      </c>
      <c r="G194" t="s">
        <v>17</v>
      </c>
    </row>
    <row r="195" spans="1:7" x14ac:dyDescent="0.3">
      <c r="A195">
        <v>43299</v>
      </c>
      <c r="B195" t="s">
        <v>20</v>
      </c>
      <c r="C195" t="s">
        <v>11</v>
      </c>
      <c r="D195">
        <v>21</v>
      </c>
      <c r="E195">
        <v>16</v>
      </c>
      <c r="F195">
        <v>0.02</v>
      </c>
      <c r="G195" t="s">
        <v>19</v>
      </c>
    </row>
    <row r="196" spans="1:7" x14ac:dyDescent="0.3">
      <c r="A196">
        <v>43299</v>
      </c>
      <c r="B196" t="s">
        <v>7</v>
      </c>
      <c r="C196" t="s">
        <v>18</v>
      </c>
      <c r="D196">
        <v>21</v>
      </c>
      <c r="E196">
        <v>80</v>
      </c>
      <c r="F196">
        <v>0.05</v>
      </c>
      <c r="G196" t="s">
        <v>22</v>
      </c>
    </row>
    <row r="197" spans="1:7" x14ac:dyDescent="0.3">
      <c r="A197">
        <v>43299</v>
      </c>
      <c r="B197" t="s">
        <v>20</v>
      </c>
      <c r="C197" t="s">
        <v>18</v>
      </c>
      <c r="D197">
        <v>10</v>
      </c>
      <c r="E197">
        <v>16</v>
      </c>
      <c r="F197">
        <v>0.01</v>
      </c>
      <c r="G197" t="s">
        <v>24</v>
      </c>
    </row>
    <row r="198" spans="1:7" x14ac:dyDescent="0.3">
      <c r="A198">
        <v>43300</v>
      </c>
      <c r="B198" t="s">
        <v>13</v>
      </c>
      <c r="C198" t="s">
        <v>18</v>
      </c>
      <c r="D198">
        <v>2</v>
      </c>
      <c r="E198">
        <v>230</v>
      </c>
      <c r="F198">
        <v>0.09</v>
      </c>
      <c r="G198" t="s">
        <v>25</v>
      </c>
    </row>
    <row r="199" spans="1:7" x14ac:dyDescent="0.3">
      <c r="A199">
        <v>43300</v>
      </c>
      <c r="B199" t="s">
        <v>23</v>
      </c>
      <c r="C199" t="s">
        <v>8</v>
      </c>
      <c r="D199">
        <v>20</v>
      </c>
      <c r="E199">
        <v>150</v>
      </c>
      <c r="F199">
        <v>0.03</v>
      </c>
      <c r="G199" t="s">
        <v>26</v>
      </c>
    </row>
    <row r="200" spans="1:7" x14ac:dyDescent="0.3">
      <c r="A200">
        <v>43300</v>
      </c>
      <c r="B200" t="s">
        <v>10</v>
      </c>
      <c r="C200" t="s">
        <v>8</v>
      </c>
      <c r="D200">
        <v>23</v>
      </c>
      <c r="E200">
        <v>40</v>
      </c>
      <c r="F200">
        <v>0.03</v>
      </c>
      <c r="G200" t="s">
        <v>27</v>
      </c>
    </row>
    <row r="201" spans="1:7" x14ac:dyDescent="0.3">
      <c r="A201">
        <v>43300</v>
      </c>
      <c r="B201" t="s">
        <v>7</v>
      </c>
      <c r="C201" t="s">
        <v>18</v>
      </c>
      <c r="D201">
        <v>17</v>
      </c>
      <c r="E201">
        <v>80</v>
      </c>
      <c r="F201">
        <v>0.05</v>
      </c>
      <c r="G201" t="s">
        <v>28</v>
      </c>
    </row>
    <row r="202" spans="1:7" x14ac:dyDescent="0.3">
      <c r="A202">
        <v>43300</v>
      </c>
      <c r="B202" t="s">
        <v>13</v>
      </c>
      <c r="C202" t="s">
        <v>18</v>
      </c>
      <c r="D202">
        <v>11</v>
      </c>
      <c r="E202">
        <v>230</v>
      </c>
      <c r="F202">
        <v>0.12</v>
      </c>
      <c r="G202" t="s">
        <v>9</v>
      </c>
    </row>
    <row r="203" spans="1:7" x14ac:dyDescent="0.3">
      <c r="A203">
        <v>43300</v>
      </c>
      <c r="B203" t="s">
        <v>23</v>
      </c>
      <c r="C203" t="s">
        <v>11</v>
      </c>
      <c r="D203">
        <v>10</v>
      </c>
      <c r="E203">
        <v>150</v>
      </c>
      <c r="F203">
        <v>0.01</v>
      </c>
      <c r="G203" t="s">
        <v>12</v>
      </c>
    </row>
    <row r="204" spans="1:7" x14ac:dyDescent="0.3">
      <c r="A204">
        <v>43300</v>
      </c>
      <c r="B204" t="s">
        <v>7</v>
      </c>
      <c r="C204" t="s">
        <v>11</v>
      </c>
      <c r="D204">
        <v>17</v>
      </c>
      <c r="E204">
        <v>80</v>
      </c>
      <c r="F204">
        <v>0.03</v>
      </c>
      <c r="G204" t="s">
        <v>14</v>
      </c>
    </row>
    <row r="205" spans="1:7" x14ac:dyDescent="0.3">
      <c r="A205">
        <v>43301</v>
      </c>
      <c r="B205" t="s">
        <v>13</v>
      </c>
      <c r="C205" t="s">
        <v>8</v>
      </c>
      <c r="D205">
        <v>9</v>
      </c>
      <c r="E205">
        <v>230</v>
      </c>
      <c r="F205">
        <v>7.0000000000000007E-2</v>
      </c>
      <c r="G205" t="s">
        <v>15</v>
      </c>
    </row>
    <row r="206" spans="1:7" x14ac:dyDescent="0.3">
      <c r="A206">
        <v>43301</v>
      </c>
      <c r="B206" t="s">
        <v>13</v>
      </c>
      <c r="C206" t="s">
        <v>8</v>
      </c>
      <c r="D206">
        <v>11</v>
      </c>
      <c r="E206">
        <v>230</v>
      </c>
      <c r="F206">
        <v>0.02</v>
      </c>
      <c r="G206" t="s">
        <v>17</v>
      </c>
    </row>
    <row r="207" spans="1:7" x14ac:dyDescent="0.3">
      <c r="A207">
        <v>43301</v>
      </c>
      <c r="B207" t="s">
        <v>10</v>
      </c>
      <c r="C207" t="s">
        <v>16</v>
      </c>
      <c r="D207">
        <v>2</v>
      </c>
      <c r="E207">
        <v>40</v>
      </c>
      <c r="F207">
        <v>0.02</v>
      </c>
      <c r="G207" t="s">
        <v>19</v>
      </c>
    </row>
    <row r="208" spans="1:7" x14ac:dyDescent="0.3">
      <c r="A208">
        <v>43301</v>
      </c>
      <c r="B208" t="s">
        <v>13</v>
      </c>
      <c r="C208" t="s">
        <v>21</v>
      </c>
      <c r="D208">
        <v>3</v>
      </c>
      <c r="E208">
        <v>230</v>
      </c>
      <c r="F208">
        <v>0.1</v>
      </c>
      <c r="G208" t="s">
        <v>22</v>
      </c>
    </row>
    <row r="209" spans="1:7" x14ac:dyDescent="0.3">
      <c r="A209">
        <v>43301</v>
      </c>
      <c r="B209" t="s">
        <v>10</v>
      </c>
      <c r="C209" t="s">
        <v>21</v>
      </c>
      <c r="D209">
        <v>7</v>
      </c>
      <c r="E209">
        <v>40</v>
      </c>
      <c r="F209">
        <v>0.05</v>
      </c>
      <c r="G209" t="s">
        <v>24</v>
      </c>
    </row>
    <row r="210" spans="1:7" x14ac:dyDescent="0.3">
      <c r="A210">
        <v>43301</v>
      </c>
      <c r="B210" t="s">
        <v>23</v>
      </c>
      <c r="C210" t="s">
        <v>11</v>
      </c>
      <c r="D210">
        <v>20</v>
      </c>
      <c r="E210">
        <v>150</v>
      </c>
      <c r="F210">
        <v>0.09</v>
      </c>
      <c r="G210" t="s">
        <v>25</v>
      </c>
    </row>
    <row r="211" spans="1:7" x14ac:dyDescent="0.3">
      <c r="A211">
        <v>43301</v>
      </c>
      <c r="B211" t="s">
        <v>10</v>
      </c>
      <c r="C211" t="s">
        <v>16</v>
      </c>
      <c r="D211">
        <v>4</v>
      </c>
      <c r="E211">
        <v>40</v>
      </c>
      <c r="F211">
        <v>0.11</v>
      </c>
      <c r="G211" t="s">
        <v>26</v>
      </c>
    </row>
    <row r="212" spans="1:7" x14ac:dyDescent="0.3">
      <c r="A212">
        <v>43302</v>
      </c>
      <c r="B212" t="s">
        <v>13</v>
      </c>
      <c r="C212" t="s">
        <v>16</v>
      </c>
      <c r="D212">
        <v>2</v>
      </c>
      <c r="E212">
        <v>230</v>
      </c>
      <c r="F212">
        <v>0.09</v>
      </c>
      <c r="G212" t="s">
        <v>9</v>
      </c>
    </row>
    <row r="213" spans="1:7" x14ac:dyDescent="0.3">
      <c r="A213">
        <v>43302</v>
      </c>
      <c r="B213" t="s">
        <v>10</v>
      </c>
      <c r="C213" t="s">
        <v>11</v>
      </c>
      <c r="D213">
        <v>7</v>
      </c>
      <c r="E213">
        <v>40</v>
      </c>
      <c r="F213">
        <v>0.01</v>
      </c>
      <c r="G213" t="s">
        <v>12</v>
      </c>
    </row>
    <row r="214" spans="1:7" x14ac:dyDescent="0.3">
      <c r="A214">
        <v>43302</v>
      </c>
      <c r="B214" t="s">
        <v>10</v>
      </c>
      <c r="C214" t="s">
        <v>8</v>
      </c>
      <c r="D214">
        <v>2</v>
      </c>
      <c r="E214">
        <v>40</v>
      </c>
      <c r="F214">
        <v>0.12</v>
      </c>
      <c r="G214" t="s">
        <v>14</v>
      </c>
    </row>
    <row r="215" spans="1:7" x14ac:dyDescent="0.3">
      <c r="A215">
        <v>43302</v>
      </c>
      <c r="B215" t="s">
        <v>7</v>
      </c>
      <c r="C215" t="s">
        <v>11</v>
      </c>
      <c r="D215">
        <v>3</v>
      </c>
      <c r="E215">
        <v>80</v>
      </c>
      <c r="F215">
        <v>0.02</v>
      </c>
      <c r="G215" t="s">
        <v>15</v>
      </c>
    </row>
    <row r="216" spans="1:7" x14ac:dyDescent="0.3">
      <c r="A216">
        <v>43302</v>
      </c>
      <c r="B216" t="s">
        <v>20</v>
      </c>
      <c r="C216" t="s">
        <v>8</v>
      </c>
      <c r="D216">
        <v>18</v>
      </c>
      <c r="E216">
        <v>16</v>
      </c>
      <c r="F216">
        <v>0.11</v>
      </c>
      <c r="G216" t="s">
        <v>17</v>
      </c>
    </row>
    <row r="217" spans="1:7" x14ac:dyDescent="0.3">
      <c r="A217">
        <v>43302</v>
      </c>
      <c r="B217" t="s">
        <v>7</v>
      </c>
      <c r="C217" t="s">
        <v>11</v>
      </c>
      <c r="D217">
        <v>5</v>
      </c>
      <c r="E217">
        <v>80</v>
      </c>
      <c r="F217">
        <v>7.0000000000000007E-2</v>
      </c>
      <c r="G217" t="s">
        <v>19</v>
      </c>
    </row>
    <row r="218" spans="1:7" x14ac:dyDescent="0.3">
      <c r="A218">
        <v>43302</v>
      </c>
      <c r="B218" t="s">
        <v>20</v>
      </c>
      <c r="C218" t="s">
        <v>16</v>
      </c>
      <c r="D218">
        <v>3</v>
      </c>
      <c r="E218">
        <v>16</v>
      </c>
      <c r="F218">
        <v>0.05</v>
      </c>
      <c r="G218" t="s">
        <v>22</v>
      </c>
    </row>
    <row r="219" spans="1:7" x14ac:dyDescent="0.3">
      <c r="A219">
        <v>43302</v>
      </c>
      <c r="B219" t="s">
        <v>7</v>
      </c>
      <c r="C219" t="s">
        <v>18</v>
      </c>
      <c r="D219">
        <v>7</v>
      </c>
      <c r="E219">
        <v>80</v>
      </c>
      <c r="F219">
        <v>0.02</v>
      </c>
      <c r="G219" t="s">
        <v>24</v>
      </c>
    </row>
    <row r="220" spans="1:7" x14ac:dyDescent="0.3">
      <c r="A220">
        <v>43302</v>
      </c>
      <c r="B220" t="s">
        <v>23</v>
      </c>
      <c r="C220" t="s">
        <v>18</v>
      </c>
      <c r="D220">
        <v>15</v>
      </c>
      <c r="E220">
        <v>150</v>
      </c>
      <c r="F220">
        <v>0.08</v>
      </c>
      <c r="G220" t="s">
        <v>25</v>
      </c>
    </row>
    <row r="221" spans="1:7" x14ac:dyDescent="0.3">
      <c r="A221">
        <v>43302</v>
      </c>
      <c r="B221" t="s">
        <v>7</v>
      </c>
      <c r="C221" t="s">
        <v>16</v>
      </c>
      <c r="D221">
        <v>10</v>
      </c>
      <c r="E221">
        <v>80</v>
      </c>
      <c r="F221">
        <v>0.11</v>
      </c>
      <c r="G221" t="s">
        <v>26</v>
      </c>
    </row>
    <row r="222" spans="1:7" x14ac:dyDescent="0.3">
      <c r="A222">
        <v>43302</v>
      </c>
      <c r="B222" t="s">
        <v>13</v>
      </c>
      <c r="C222" t="s">
        <v>21</v>
      </c>
      <c r="D222">
        <v>13</v>
      </c>
      <c r="E222">
        <v>230</v>
      </c>
      <c r="F222">
        <v>0.06</v>
      </c>
      <c r="G222" t="s">
        <v>27</v>
      </c>
    </row>
    <row r="223" spans="1:7" x14ac:dyDescent="0.3">
      <c r="A223">
        <v>43302</v>
      </c>
      <c r="B223" t="s">
        <v>10</v>
      </c>
      <c r="C223" t="s">
        <v>8</v>
      </c>
      <c r="D223">
        <v>7</v>
      </c>
      <c r="E223">
        <v>40</v>
      </c>
      <c r="F223">
        <v>0.1</v>
      </c>
      <c r="G223" t="s">
        <v>28</v>
      </c>
    </row>
    <row r="224" spans="1:7" x14ac:dyDescent="0.3">
      <c r="A224">
        <v>43302</v>
      </c>
      <c r="B224" t="s">
        <v>20</v>
      </c>
      <c r="C224" t="s">
        <v>16</v>
      </c>
      <c r="D224">
        <v>6</v>
      </c>
      <c r="E224">
        <v>16</v>
      </c>
      <c r="F224">
        <v>0.01</v>
      </c>
      <c r="G224" t="s">
        <v>9</v>
      </c>
    </row>
    <row r="225" spans="1:7" x14ac:dyDescent="0.3">
      <c r="A225">
        <v>43303</v>
      </c>
      <c r="B225" t="s">
        <v>10</v>
      </c>
      <c r="C225" t="s">
        <v>16</v>
      </c>
      <c r="D225">
        <v>11</v>
      </c>
      <c r="E225">
        <v>40</v>
      </c>
      <c r="F225">
        <v>0.05</v>
      </c>
      <c r="G225" t="s">
        <v>12</v>
      </c>
    </row>
    <row r="226" spans="1:7" x14ac:dyDescent="0.3">
      <c r="A226">
        <v>43303</v>
      </c>
      <c r="B226" t="s">
        <v>7</v>
      </c>
      <c r="C226" t="s">
        <v>18</v>
      </c>
      <c r="D226">
        <v>8</v>
      </c>
      <c r="E226">
        <v>80</v>
      </c>
      <c r="F226">
        <v>0.06</v>
      </c>
      <c r="G226" t="s">
        <v>14</v>
      </c>
    </row>
    <row r="227" spans="1:7" x14ac:dyDescent="0.3">
      <c r="A227">
        <v>43303</v>
      </c>
      <c r="B227" t="s">
        <v>7</v>
      </c>
      <c r="C227" t="s">
        <v>8</v>
      </c>
      <c r="D227">
        <v>9</v>
      </c>
      <c r="E227">
        <v>80</v>
      </c>
      <c r="F227">
        <v>0.04</v>
      </c>
      <c r="G227" t="s">
        <v>15</v>
      </c>
    </row>
    <row r="228" spans="1:7" x14ac:dyDescent="0.3">
      <c r="A228">
        <v>43303</v>
      </c>
      <c r="B228" t="s">
        <v>10</v>
      </c>
      <c r="C228" t="s">
        <v>21</v>
      </c>
      <c r="D228">
        <v>4</v>
      </c>
      <c r="E228">
        <v>40</v>
      </c>
      <c r="F228">
        <v>0.09</v>
      </c>
      <c r="G228" t="s">
        <v>17</v>
      </c>
    </row>
    <row r="229" spans="1:7" x14ac:dyDescent="0.3">
      <c r="A229">
        <v>43303</v>
      </c>
      <c r="B229" t="s">
        <v>7</v>
      </c>
      <c r="C229" t="s">
        <v>11</v>
      </c>
      <c r="D229">
        <v>13</v>
      </c>
      <c r="E229">
        <v>80</v>
      </c>
      <c r="F229">
        <v>0.06</v>
      </c>
      <c r="G229" t="s">
        <v>19</v>
      </c>
    </row>
    <row r="230" spans="1:7" x14ac:dyDescent="0.3">
      <c r="A230">
        <v>43303</v>
      </c>
      <c r="B230" t="s">
        <v>23</v>
      </c>
      <c r="C230" t="s">
        <v>21</v>
      </c>
      <c r="D230">
        <v>4</v>
      </c>
      <c r="E230">
        <v>150</v>
      </c>
      <c r="F230">
        <v>0.05</v>
      </c>
      <c r="G230" t="s">
        <v>22</v>
      </c>
    </row>
    <row r="231" spans="1:7" x14ac:dyDescent="0.3">
      <c r="A231">
        <v>43303</v>
      </c>
      <c r="B231" t="s">
        <v>13</v>
      </c>
      <c r="C231" t="s">
        <v>16</v>
      </c>
      <c r="D231">
        <v>14</v>
      </c>
      <c r="E231">
        <v>230</v>
      </c>
      <c r="F231">
        <v>0.12</v>
      </c>
      <c r="G231" t="s">
        <v>24</v>
      </c>
    </row>
    <row r="232" spans="1:7" x14ac:dyDescent="0.3">
      <c r="A232">
        <v>43303</v>
      </c>
      <c r="B232" t="s">
        <v>23</v>
      </c>
      <c r="C232" t="s">
        <v>21</v>
      </c>
      <c r="D232">
        <v>13</v>
      </c>
      <c r="E232">
        <v>150</v>
      </c>
      <c r="F232">
        <v>0.11</v>
      </c>
      <c r="G232" t="s">
        <v>25</v>
      </c>
    </row>
    <row r="233" spans="1:7" x14ac:dyDescent="0.3">
      <c r="A233">
        <v>43303</v>
      </c>
      <c r="B233" t="s">
        <v>23</v>
      </c>
      <c r="C233" t="s">
        <v>11</v>
      </c>
      <c r="D233">
        <v>16</v>
      </c>
      <c r="E233">
        <v>150</v>
      </c>
      <c r="F233">
        <v>0.03</v>
      </c>
      <c r="G233" t="s">
        <v>26</v>
      </c>
    </row>
    <row r="234" spans="1:7" x14ac:dyDescent="0.3">
      <c r="A234">
        <v>43303</v>
      </c>
      <c r="B234" t="s">
        <v>20</v>
      </c>
      <c r="C234" t="s">
        <v>8</v>
      </c>
      <c r="D234">
        <v>7</v>
      </c>
      <c r="E234">
        <v>16</v>
      </c>
      <c r="F234">
        <v>0.12</v>
      </c>
      <c r="G234" t="s">
        <v>27</v>
      </c>
    </row>
    <row r="235" spans="1:7" x14ac:dyDescent="0.3">
      <c r="A235">
        <v>43303</v>
      </c>
      <c r="B235" t="s">
        <v>23</v>
      </c>
      <c r="C235" t="s">
        <v>18</v>
      </c>
      <c r="D235">
        <v>9</v>
      </c>
      <c r="E235">
        <v>150</v>
      </c>
      <c r="F235">
        <v>0.02</v>
      </c>
      <c r="G235" t="s">
        <v>28</v>
      </c>
    </row>
    <row r="236" spans="1:7" x14ac:dyDescent="0.3">
      <c r="A236">
        <v>43303</v>
      </c>
      <c r="B236" t="s">
        <v>20</v>
      </c>
      <c r="C236" t="s">
        <v>8</v>
      </c>
      <c r="D236">
        <v>10</v>
      </c>
      <c r="E236">
        <v>16</v>
      </c>
      <c r="F236">
        <v>0.08</v>
      </c>
      <c r="G236" t="s">
        <v>9</v>
      </c>
    </row>
    <row r="237" spans="1:7" x14ac:dyDescent="0.3">
      <c r="A237">
        <v>43303</v>
      </c>
      <c r="B237" t="s">
        <v>7</v>
      </c>
      <c r="C237" t="s">
        <v>18</v>
      </c>
      <c r="D237">
        <v>15</v>
      </c>
      <c r="E237">
        <v>80</v>
      </c>
      <c r="F237">
        <v>0.08</v>
      </c>
      <c r="G237" t="s">
        <v>12</v>
      </c>
    </row>
    <row r="238" spans="1:7" x14ac:dyDescent="0.3">
      <c r="A238">
        <v>43303</v>
      </c>
      <c r="B238" t="s">
        <v>7</v>
      </c>
      <c r="C238" t="s">
        <v>21</v>
      </c>
      <c r="D238">
        <v>9</v>
      </c>
      <c r="E238">
        <v>80</v>
      </c>
      <c r="F238">
        <v>0.06</v>
      </c>
      <c r="G238" t="s">
        <v>14</v>
      </c>
    </row>
    <row r="239" spans="1:7" x14ac:dyDescent="0.3">
      <c r="A239">
        <v>43304</v>
      </c>
      <c r="B239" t="s">
        <v>20</v>
      </c>
      <c r="C239" t="s">
        <v>18</v>
      </c>
      <c r="D239">
        <v>7</v>
      </c>
      <c r="E239">
        <v>16</v>
      </c>
      <c r="F239">
        <v>0.08</v>
      </c>
      <c r="G239" t="s">
        <v>15</v>
      </c>
    </row>
    <row r="240" spans="1:7" x14ac:dyDescent="0.3">
      <c r="A240">
        <v>43304</v>
      </c>
      <c r="B240" t="s">
        <v>23</v>
      </c>
      <c r="C240" t="s">
        <v>21</v>
      </c>
      <c r="D240">
        <v>7</v>
      </c>
      <c r="E240">
        <v>150</v>
      </c>
      <c r="F240">
        <v>0.03</v>
      </c>
      <c r="G240" t="s">
        <v>17</v>
      </c>
    </row>
    <row r="241" spans="1:7" x14ac:dyDescent="0.3">
      <c r="A241">
        <v>43304</v>
      </c>
      <c r="B241" t="s">
        <v>13</v>
      </c>
      <c r="C241" t="s">
        <v>18</v>
      </c>
      <c r="D241">
        <v>16</v>
      </c>
      <c r="E241">
        <v>230</v>
      </c>
      <c r="F241">
        <v>0.11</v>
      </c>
      <c r="G241" t="s">
        <v>19</v>
      </c>
    </row>
    <row r="242" spans="1:7" x14ac:dyDescent="0.3">
      <c r="A242">
        <v>43304</v>
      </c>
      <c r="B242" t="s">
        <v>20</v>
      </c>
      <c r="C242" t="s">
        <v>18</v>
      </c>
      <c r="D242">
        <v>18</v>
      </c>
      <c r="E242">
        <v>16</v>
      </c>
      <c r="F242">
        <v>0.04</v>
      </c>
      <c r="G242" t="s">
        <v>22</v>
      </c>
    </row>
    <row r="243" spans="1:7" x14ac:dyDescent="0.3">
      <c r="A243">
        <v>43304</v>
      </c>
      <c r="B243" t="s">
        <v>13</v>
      </c>
      <c r="C243" t="s">
        <v>21</v>
      </c>
      <c r="D243">
        <v>20</v>
      </c>
      <c r="E243">
        <v>230</v>
      </c>
      <c r="F243">
        <v>0.11</v>
      </c>
      <c r="G243" t="s">
        <v>24</v>
      </c>
    </row>
    <row r="244" spans="1:7" x14ac:dyDescent="0.3">
      <c r="A244">
        <v>43304</v>
      </c>
      <c r="B244" t="s">
        <v>23</v>
      </c>
      <c r="C244" t="s">
        <v>8</v>
      </c>
      <c r="D244">
        <v>7</v>
      </c>
      <c r="E244">
        <v>150</v>
      </c>
      <c r="F244">
        <v>0.02</v>
      </c>
      <c r="G244" t="s">
        <v>25</v>
      </c>
    </row>
    <row r="245" spans="1:7" x14ac:dyDescent="0.3">
      <c r="A245">
        <v>43304</v>
      </c>
      <c r="B245" t="s">
        <v>20</v>
      </c>
      <c r="C245" t="s">
        <v>16</v>
      </c>
      <c r="D245">
        <v>11</v>
      </c>
      <c r="E245">
        <v>16</v>
      </c>
      <c r="F245">
        <v>0.12</v>
      </c>
      <c r="G245" t="s">
        <v>26</v>
      </c>
    </row>
    <row r="246" spans="1:7" x14ac:dyDescent="0.3">
      <c r="A246">
        <v>43304</v>
      </c>
      <c r="B246" t="s">
        <v>10</v>
      </c>
      <c r="C246" t="s">
        <v>16</v>
      </c>
      <c r="D246">
        <v>12</v>
      </c>
      <c r="E246">
        <v>40</v>
      </c>
      <c r="F246">
        <v>0.02</v>
      </c>
      <c r="G246" t="s">
        <v>27</v>
      </c>
    </row>
    <row r="247" spans="1:7" x14ac:dyDescent="0.3">
      <c r="A247">
        <v>43304</v>
      </c>
      <c r="B247" t="s">
        <v>23</v>
      </c>
      <c r="C247" t="s">
        <v>21</v>
      </c>
      <c r="D247">
        <v>7</v>
      </c>
      <c r="E247">
        <v>150</v>
      </c>
      <c r="F247">
        <v>0.02</v>
      </c>
      <c r="G247" t="s">
        <v>28</v>
      </c>
    </row>
    <row r="248" spans="1:7" x14ac:dyDescent="0.3">
      <c r="A248">
        <v>43304</v>
      </c>
      <c r="B248" t="s">
        <v>7</v>
      </c>
      <c r="C248" t="s">
        <v>16</v>
      </c>
      <c r="D248">
        <v>14</v>
      </c>
      <c r="E248">
        <v>80</v>
      </c>
      <c r="F248">
        <v>0.1</v>
      </c>
      <c r="G248" t="s">
        <v>9</v>
      </c>
    </row>
    <row r="249" spans="1:7" x14ac:dyDescent="0.3">
      <c r="A249">
        <v>43304</v>
      </c>
      <c r="B249" t="s">
        <v>13</v>
      </c>
      <c r="C249" t="s">
        <v>16</v>
      </c>
      <c r="D249">
        <v>12</v>
      </c>
      <c r="E249">
        <v>230</v>
      </c>
      <c r="F249">
        <v>0.06</v>
      </c>
      <c r="G249" t="s">
        <v>12</v>
      </c>
    </row>
    <row r="250" spans="1:7" x14ac:dyDescent="0.3">
      <c r="A250">
        <v>43305</v>
      </c>
      <c r="B250" t="s">
        <v>7</v>
      </c>
      <c r="C250" t="s">
        <v>11</v>
      </c>
      <c r="D250">
        <v>21</v>
      </c>
      <c r="E250">
        <v>80</v>
      </c>
      <c r="F250">
        <v>0.04</v>
      </c>
      <c r="G250" t="s">
        <v>14</v>
      </c>
    </row>
    <row r="251" spans="1:7" x14ac:dyDescent="0.3">
      <c r="A251">
        <v>43305</v>
      </c>
      <c r="B251" t="s">
        <v>23</v>
      </c>
      <c r="C251" t="s">
        <v>8</v>
      </c>
      <c r="D251">
        <v>8</v>
      </c>
      <c r="E251">
        <v>150</v>
      </c>
      <c r="F251">
        <v>0.09</v>
      </c>
      <c r="G251" t="s">
        <v>15</v>
      </c>
    </row>
    <row r="252" spans="1:7" x14ac:dyDescent="0.3">
      <c r="A252">
        <v>43305</v>
      </c>
      <c r="B252" t="s">
        <v>7</v>
      </c>
      <c r="C252" t="s">
        <v>11</v>
      </c>
      <c r="D252">
        <v>16</v>
      </c>
      <c r="E252">
        <v>80</v>
      </c>
      <c r="F252">
        <v>0.04</v>
      </c>
      <c r="G252" t="s">
        <v>17</v>
      </c>
    </row>
    <row r="253" spans="1:7" x14ac:dyDescent="0.3">
      <c r="A253">
        <v>43305</v>
      </c>
      <c r="B253" t="s">
        <v>13</v>
      </c>
      <c r="C253" t="s">
        <v>11</v>
      </c>
      <c r="D253">
        <v>14</v>
      </c>
      <c r="E253">
        <v>230</v>
      </c>
      <c r="F253">
        <v>0.05</v>
      </c>
      <c r="G253" t="s">
        <v>19</v>
      </c>
    </row>
    <row r="254" spans="1:7" x14ac:dyDescent="0.3">
      <c r="A254">
        <v>43305</v>
      </c>
      <c r="B254" t="s">
        <v>10</v>
      </c>
      <c r="C254" t="s">
        <v>16</v>
      </c>
      <c r="D254">
        <v>2</v>
      </c>
      <c r="E254">
        <v>40</v>
      </c>
      <c r="F254">
        <v>0.03</v>
      </c>
      <c r="G254" t="s">
        <v>22</v>
      </c>
    </row>
    <row r="255" spans="1:7" x14ac:dyDescent="0.3">
      <c r="A255">
        <v>43305</v>
      </c>
      <c r="B255" t="s">
        <v>23</v>
      </c>
      <c r="C255" t="s">
        <v>8</v>
      </c>
      <c r="D255">
        <v>4</v>
      </c>
      <c r="E255">
        <v>150</v>
      </c>
      <c r="F255">
        <v>0.1</v>
      </c>
      <c r="G255" t="s">
        <v>24</v>
      </c>
    </row>
    <row r="256" spans="1:7" x14ac:dyDescent="0.3">
      <c r="A256">
        <v>43305</v>
      </c>
      <c r="B256" t="s">
        <v>7</v>
      </c>
      <c r="C256" t="s">
        <v>16</v>
      </c>
      <c r="D256">
        <v>6</v>
      </c>
      <c r="E256">
        <v>80</v>
      </c>
      <c r="F256">
        <v>0.01</v>
      </c>
      <c r="G256" t="s">
        <v>25</v>
      </c>
    </row>
    <row r="257" spans="1:7" x14ac:dyDescent="0.3">
      <c r="A257">
        <v>43305</v>
      </c>
      <c r="B257" t="s">
        <v>10</v>
      </c>
      <c r="C257" t="s">
        <v>16</v>
      </c>
      <c r="D257">
        <v>6</v>
      </c>
      <c r="E257">
        <v>40</v>
      </c>
      <c r="F257">
        <v>0.06</v>
      </c>
      <c r="G257" t="s">
        <v>26</v>
      </c>
    </row>
    <row r="258" spans="1:7" x14ac:dyDescent="0.3">
      <c r="A258">
        <v>43305</v>
      </c>
      <c r="B258" t="s">
        <v>23</v>
      </c>
      <c r="C258" t="s">
        <v>8</v>
      </c>
      <c r="D258">
        <v>20</v>
      </c>
      <c r="E258">
        <v>150</v>
      </c>
      <c r="F258">
        <v>0.04</v>
      </c>
      <c r="G258" t="s">
        <v>27</v>
      </c>
    </row>
    <row r="259" spans="1:7" x14ac:dyDescent="0.3">
      <c r="A259">
        <v>43305</v>
      </c>
      <c r="B259" t="s">
        <v>10</v>
      </c>
      <c r="C259" t="s">
        <v>16</v>
      </c>
      <c r="D259">
        <v>18</v>
      </c>
      <c r="E259">
        <v>40</v>
      </c>
      <c r="F259">
        <v>0.03</v>
      </c>
      <c r="G259" t="s">
        <v>28</v>
      </c>
    </row>
    <row r="260" spans="1:7" x14ac:dyDescent="0.3">
      <c r="A260">
        <v>43305</v>
      </c>
      <c r="B260" t="s">
        <v>13</v>
      </c>
      <c r="C260" t="s">
        <v>18</v>
      </c>
      <c r="D260">
        <v>18</v>
      </c>
      <c r="E260">
        <v>230</v>
      </c>
      <c r="F260">
        <v>0.01</v>
      </c>
      <c r="G260" t="s">
        <v>9</v>
      </c>
    </row>
    <row r="261" spans="1:7" x14ac:dyDescent="0.3">
      <c r="A261">
        <v>43305</v>
      </c>
      <c r="B261" t="s">
        <v>13</v>
      </c>
      <c r="C261" t="s">
        <v>16</v>
      </c>
      <c r="D261">
        <v>15</v>
      </c>
      <c r="E261">
        <v>230</v>
      </c>
      <c r="F261">
        <v>0.04</v>
      </c>
      <c r="G261" t="s">
        <v>12</v>
      </c>
    </row>
    <row r="262" spans="1:7" x14ac:dyDescent="0.3">
      <c r="A262">
        <v>43305</v>
      </c>
      <c r="B262" t="s">
        <v>20</v>
      </c>
      <c r="C262" t="s">
        <v>11</v>
      </c>
      <c r="D262">
        <v>22</v>
      </c>
      <c r="E262">
        <v>16</v>
      </c>
      <c r="F262">
        <v>0.01</v>
      </c>
      <c r="G262" t="s">
        <v>14</v>
      </c>
    </row>
    <row r="263" spans="1:7" x14ac:dyDescent="0.3">
      <c r="A263">
        <v>43305</v>
      </c>
      <c r="B263" t="s">
        <v>23</v>
      </c>
      <c r="C263" t="s">
        <v>8</v>
      </c>
      <c r="D263">
        <v>17</v>
      </c>
      <c r="E263">
        <v>150</v>
      </c>
      <c r="F263">
        <v>0.12</v>
      </c>
      <c r="G263" t="s">
        <v>15</v>
      </c>
    </row>
    <row r="264" spans="1:7" x14ac:dyDescent="0.3">
      <c r="A264">
        <v>43306</v>
      </c>
      <c r="B264" t="s">
        <v>20</v>
      </c>
      <c r="C264" t="s">
        <v>11</v>
      </c>
      <c r="D264">
        <v>5</v>
      </c>
      <c r="E264">
        <v>16</v>
      </c>
      <c r="F264">
        <v>0.11</v>
      </c>
      <c r="G264" t="s">
        <v>17</v>
      </c>
    </row>
    <row r="265" spans="1:7" x14ac:dyDescent="0.3">
      <c r="A265">
        <v>43306</v>
      </c>
      <c r="B265" t="s">
        <v>23</v>
      </c>
      <c r="C265" t="s">
        <v>8</v>
      </c>
      <c r="D265">
        <v>23</v>
      </c>
      <c r="E265">
        <v>150</v>
      </c>
      <c r="F265">
        <v>0.1</v>
      </c>
      <c r="G265" t="s">
        <v>19</v>
      </c>
    </row>
    <row r="266" spans="1:7" x14ac:dyDescent="0.3">
      <c r="A266">
        <v>43306</v>
      </c>
      <c r="B266" t="s">
        <v>23</v>
      </c>
      <c r="C266" t="s">
        <v>18</v>
      </c>
      <c r="D266">
        <v>22</v>
      </c>
      <c r="E266">
        <v>150</v>
      </c>
      <c r="F266">
        <v>0.05</v>
      </c>
      <c r="G266" t="s">
        <v>22</v>
      </c>
    </row>
    <row r="267" spans="1:7" x14ac:dyDescent="0.3">
      <c r="A267">
        <v>43306</v>
      </c>
      <c r="B267" t="s">
        <v>20</v>
      </c>
      <c r="C267" t="s">
        <v>21</v>
      </c>
      <c r="D267">
        <v>15</v>
      </c>
      <c r="E267">
        <v>16</v>
      </c>
      <c r="F267">
        <v>0.01</v>
      </c>
      <c r="G267" t="s">
        <v>24</v>
      </c>
    </row>
    <row r="268" spans="1:7" x14ac:dyDescent="0.3">
      <c r="A268">
        <v>43306</v>
      </c>
      <c r="B268" t="s">
        <v>10</v>
      </c>
      <c r="C268" t="s">
        <v>18</v>
      </c>
      <c r="D268">
        <v>7</v>
      </c>
      <c r="E268">
        <v>40</v>
      </c>
      <c r="F268">
        <v>7.0000000000000007E-2</v>
      </c>
      <c r="G268" t="s">
        <v>25</v>
      </c>
    </row>
    <row r="269" spans="1:7" x14ac:dyDescent="0.3">
      <c r="A269">
        <v>43306</v>
      </c>
      <c r="B269" t="s">
        <v>7</v>
      </c>
      <c r="C269" t="s">
        <v>21</v>
      </c>
      <c r="D269">
        <v>22</v>
      </c>
      <c r="E269">
        <v>80</v>
      </c>
      <c r="F269">
        <v>0.11</v>
      </c>
      <c r="G269" t="s">
        <v>26</v>
      </c>
    </row>
    <row r="270" spans="1:7" x14ac:dyDescent="0.3">
      <c r="A270">
        <v>43306</v>
      </c>
      <c r="B270" t="s">
        <v>23</v>
      </c>
      <c r="C270" t="s">
        <v>16</v>
      </c>
      <c r="D270">
        <v>11</v>
      </c>
      <c r="E270">
        <v>150</v>
      </c>
      <c r="F270">
        <v>0.05</v>
      </c>
      <c r="G270" t="s">
        <v>27</v>
      </c>
    </row>
    <row r="271" spans="1:7" x14ac:dyDescent="0.3">
      <c r="A271">
        <v>43306</v>
      </c>
      <c r="B271" t="s">
        <v>10</v>
      </c>
      <c r="C271" t="s">
        <v>11</v>
      </c>
      <c r="D271">
        <v>21</v>
      </c>
      <c r="E271">
        <v>40</v>
      </c>
      <c r="F271">
        <v>0.03</v>
      </c>
      <c r="G271" t="s">
        <v>28</v>
      </c>
    </row>
    <row r="272" spans="1:7" x14ac:dyDescent="0.3">
      <c r="A272">
        <v>43306</v>
      </c>
      <c r="B272" t="s">
        <v>7</v>
      </c>
      <c r="C272" t="s">
        <v>18</v>
      </c>
      <c r="D272">
        <v>23</v>
      </c>
      <c r="E272">
        <v>80</v>
      </c>
      <c r="F272">
        <v>0.11</v>
      </c>
      <c r="G272" t="s">
        <v>9</v>
      </c>
    </row>
    <row r="273" spans="1:7" x14ac:dyDescent="0.3">
      <c r="A273">
        <v>43306</v>
      </c>
      <c r="B273" t="s">
        <v>13</v>
      </c>
      <c r="C273" t="s">
        <v>16</v>
      </c>
      <c r="D273">
        <v>7</v>
      </c>
      <c r="E273">
        <v>230</v>
      </c>
      <c r="F273">
        <v>0.01</v>
      </c>
      <c r="G273" t="s">
        <v>12</v>
      </c>
    </row>
    <row r="274" spans="1:7" x14ac:dyDescent="0.3">
      <c r="A274">
        <v>43306</v>
      </c>
      <c r="B274" t="s">
        <v>13</v>
      </c>
      <c r="C274" t="s">
        <v>8</v>
      </c>
      <c r="D274">
        <v>16</v>
      </c>
      <c r="E274">
        <v>230</v>
      </c>
      <c r="F274">
        <v>7.0000000000000007E-2</v>
      </c>
      <c r="G274" t="s">
        <v>14</v>
      </c>
    </row>
    <row r="275" spans="1:7" x14ac:dyDescent="0.3">
      <c r="A275">
        <v>43306</v>
      </c>
      <c r="B275" t="s">
        <v>7</v>
      </c>
      <c r="C275" t="s">
        <v>11</v>
      </c>
      <c r="D275">
        <v>14</v>
      </c>
      <c r="E275">
        <v>80</v>
      </c>
      <c r="F275">
        <v>0.11</v>
      </c>
      <c r="G275" t="s">
        <v>15</v>
      </c>
    </row>
    <row r="276" spans="1:7" x14ac:dyDescent="0.3">
      <c r="A276">
        <v>43306</v>
      </c>
      <c r="B276" t="s">
        <v>23</v>
      </c>
      <c r="C276" t="s">
        <v>16</v>
      </c>
      <c r="D276">
        <v>22</v>
      </c>
      <c r="E276">
        <v>150</v>
      </c>
      <c r="F276">
        <v>0.09</v>
      </c>
      <c r="G276" t="s">
        <v>17</v>
      </c>
    </row>
    <row r="277" spans="1:7" x14ac:dyDescent="0.3">
      <c r="A277">
        <v>43306</v>
      </c>
      <c r="B277" t="s">
        <v>23</v>
      </c>
      <c r="C277" t="s">
        <v>18</v>
      </c>
      <c r="D277">
        <v>4</v>
      </c>
      <c r="E277">
        <v>150</v>
      </c>
      <c r="F277">
        <v>0.12</v>
      </c>
      <c r="G277" t="s">
        <v>19</v>
      </c>
    </row>
    <row r="278" spans="1:7" x14ac:dyDescent="0.3">
      <c r="A278">
        <v>43306</v>
      </c>
      <c r="B278" t="s">
        <v>23</v>
      </c>
      <c r="C278" t="s">
        <v>8</v>
      </c>
      <c r="D278">
        <v>3</v>
      </c>
      <c r="E278">
        <v>150</v>
      </c>
      <c r="F278">
        <v>0.03</v>
      </c>
      <c r="G278" t="s">
        <v>22</v>
      </c>
    </row>
    <row r="279" spans="1:7" x14ac:dyDescent="0.3">
      <c r="A279">
        <v>43306</v>
      </c>
      <c r="B279" t="s">
        <v>10</v>
      </c>
      <c r="C279" t="s">
        <v>21</v>
      </c>
      <c r="D279">
        <v>17</v>
      </c>
      <c r="E279">
        <v>40</v>
      </c>
      <c r="F279">
        <v>0.02</v>
      </c>
      <c r="G279" t="s">
        <v>24</v>
      </c>
    </row>
    <row r="280" spans="1:7" x14ac:dyDescent="0.3">
      <c r="A280">
        <v>43306</v>
      </c>
      <c r="B280" t="s">
        <v>7</v>
      </c>
      <c r="C280" t="s">
        <v>21</v>
      </c>
      <c r="D280">
        <v>22</v>
      </c>
      <c r="E280">
        <v>80</v>
      </c>
      <c r="F280">
        <v>0.1</v>
      </c>
      <c r="G280" t="s">
        <v>25</v>
      </c>
    </row>
    <row r="281" spans="1:7" x14ac:dyDescent="0.3">
      <c r="A281">
        <v>43306</v>
      </c>
      <c r="B281" t="s">
        <v>23</v>
      </c>
      <c r="C281" t="s">
        <v>21</v>
      </c>
      <c r="D281">
        <v>18</v>
      </c>
      <c r="E281">
        <v>150</v>
      </c>
      <c r="F281">
        <v>0.12</v>
      </c>
      <c r="G281" t="s">
        <v>26</v>
      </c>
    </row>
    <row r="282" spans="1:7" x14ac:dyDescent="0.3">
      <c r="A282">
        <v>43307</v>
      </c>
      <c r="B282" t="s">
        <v>23</v>
      </c>
      <c r="C282" t="s">
        <v>8</v>
      </c>
      <c r="D282">
        <v>4</v>
      </c>
      <c r="E282">
        <v>150</v>
      </c>
      <c r="F282">
        <v>0.06</v>
      </c>
      <c r="G282" t="s">
        <v>9</v>
      </c>
    </row>
    <row r="283" spans="1:7" x14ac:dyDescent="0.3">
      <c r="A283">
        <v>43307</v>
      </c>
      <c r="B283" t="s">
        <v>13</v>
      </c>
      <c r="C283" t="s">
        <v>11</v>
      </c>
      <c r="D283">
        <v>22</v>
      </c>
      <c r="E283">
        <v>230</v>
      </c>
      <c r="F283">
        <v>0.04</v>
      </c>
      <c r="G283" t="s">
        <v>12</v>
      </c>
    </row>
    <row r="284" spans="1:7" x14ac:dyDescent="0.3">
      <c r="A284">
        <v>43307</v>
      </c>
      <c r="B284" t="s">
        <v>23</v>
      </c>
      <c r="C284" t="s">
        <v>11</v>
      </c>
      <c r="D284">
        <v>15</v>
      </c>
      <c r="E284">
        <v>150</v>
      </c>
      <c r="F284">
        <v>0.12</v>
      </c>
      <c r="G284" t="s">
        <v>14</v>
      </c>
    </row>
    <row r="285" spans="1:7" x14ac:dyDescent="0.3">
      <c r="A285">
        <v>43307</v>
      </c>
      <c r="B285" t="s">
        <v>7</v>
      </c>
      <c r="C285" t="s">
        <v>8</v>
      </c>
      <c r="D285">
        <v>17</v>
      </c>
      <c r="E285">
        <v>80</v>
      </c>
      <c r="F285">
        <v>7.0000000000000007E-2</v>
      </c>
      <c r="G285" t="s">
        <v>15</v>
      </c>
    </row>
    <row r="286" spans="1:7" x14ac:dyDescent="0.3">
      <c r="A286">
        <v>43307</v>
      </c>
      <c r="B286" t="s">
        <v>10</v>
      </c>
      <c r="C286" t="s">
        <v>21</v>
      </c>
      <c r="D286">
        <v>10</v>
      </c>
      <c r="E286">
        <v>40</v>
      </c>
      <c r="F286">
        <v>0.03</v>
      </c>
      <c r="G286" t="s">
        <v>17</v>
      </c>
    </row>
    <row r="287" spans="1:7" x14ac:dyDescent="0.3">
      <c r="A287">
        <v>43307</v>
      </c>
      <c r="B287" t="s">
        <v>10</v>
      </c>
      <c r="C287" t="s">
        <v>8</v>
      </c>
      <c r="D287">
        <v>23</v>
      </c>
      <c r="E287">
        <v>40</v>
      </c>
      <c r="F287">
        <v>7.0000000000000007E-2</v>
      </c>
      <c r="G287" t="s">
        <v>19</v>
      </c>
    </row>
    <row r="288" spans="1:7" x14ac:dyDescent="0.3">
      <c r="A288">
        <v>43307</v>
      </c>
      <c r="B288" t="s">
        <v>20</v>
      </c>
      <c r="C288" t="s">
        <v>11</v>
      </c>
      <c r="D288">
        <v>22</v>
      </c>
      <c r="E288">
        <v>16</v>
      </c>
      <c r="F288">
        <v>0.04</v>
      </c>
      <c r="G288" t="s">
        <v>22</v>
      </c>
    </row>
    <row r="289" spans="1:7" x14ac:dyDescent="0.3">
      <c r="A289">
        <v>43307</v>
      </c>
      <c r="B289" t="s">
        <v>7</v>
      </c>
      <c r="C289" t="s">
        <v>16</v>
      </c>
      <c r="D289">
        <v>8</v>
      </c>
      <c r="E289">
        <v>80</v>
      </c>
      <c r="F289">
        <v>0.02</v>
      </c>
      <c r="G289" t="s">
        <v>24</v>
      </c>
    </row>
    <row r="290" spans="1:7" x14ac:dyDescent="0.3">
      <c r="A290">
        <v>43307</v>
      </c>
      <c r="B290" t="s">
        <v>20</v>
      </c>
      <c r="C290" t="s">
        <v>11</v>
      </c>
      <c r="D290">
        <v>4</v>
      </c>
      <c r="E290">
        <v>16</v>
      </c>
      <c r="F290">
        <v>0.09</v>
      </c>
      <c r="G290" t="s">
        <v>25</v>
      </c>
    </row>
    <row r="291" spans="1:7" x14ac:dyDescent="0.3">
      <c r="A291">
        <v>43307</v>
      </c>
      <c r="B291" t="s">
        <v>10</v>
      </c>
      <c r="C291" t="s">
        <v>18</v>
      </c>
      <c r="D291">
        <v>11</v>
      </c>
      <c r="E291">
        <v>40</v>
      </c>
      <c r="F291">
        <v>0.09</v>
      </c>
      <c r="G291" t="s">
        <v>26</v>
      </c>
    </row>
    <row r="292" spans="1:7" x14ac:dyDescent="0.3">
      <c r="A292">
        <v>43307</v>
      </c>
      <c r="B292" t="s">
        <v>13</v>
      </c>
      <c r="C292" t="s">
        <v>16</v>
      </c>
      <c r="D292">
        <v>18</v>
      </c>
      <c r="E292">
        <v>230</v>
      </c>
      <c r="F292">
        <v>0.01</v>
      </c>
      <c r="G292" t="s">
        <v>27</v>
      </c>
    </row>
    <row r="293" spans="1:7" x14ac:dyDescent="0.3">
      <c r="A293">
        <v>43308</v>
      </c>
      <c r="B293" t="s">
        <v>13</v>
      </c>
      <c r="C293" t="s">
        <v>11</v>
      </c>
      <c r="D293">
        <v>11</v>
      </c>
      <c r="E293">
        <v>230</v>
      </c>
      <c r="F293">
        <v>0.1</v>
      </c>
      <c r="G293" t="s">
        <v>28</v>
      </c>
    </row>
    <row r="294" spans="1:7" x14ac:dyDescent="0.3">
      <c r="A294">
        <v>43308</v>
      </c>
      <c r="B294" t="s">
        <v>13</v>
      </c>
      <c r="C294" t="s">
        <v>8</v>
      </c>
      <c r="D294">
        <v>15</v>
      </c>
      <c r="E294">
        <v>230</v>
      </c>
      <c r="F294">
        <v>0.05</v>
      </c>
      <c r="G294" t="s">
        <v>9</v>
      </c>
    </row>
    <row r="295" spans="1:7" x14ac:dyDescent="0.3">
      <c r="A295">
        <v>43308</v>
      </c>
      <c r="B295" t="s">
        <v>10</v>
      </c>
      <c r="C295" t="s">
        <v>21</v>
      </c>
      <c r="D295">
        <v>7</v>
      </c>
      <c r="E295">
        <v>40</v>
      </c>
      <c r="F295">
        <v>0.04</v>
      </c>
      <c r="G295" t="s">
        <v>12</v>
      </c>
    </row>
    <row r="296" spans="1:7" x14ac:dyDescent="0.3">
      <c r="A296">
        <v>43308</v>
      </c>
      <c r="B296" t="s">
        <v>23</v>
      </c>
      <c r="C296" t="s">
        <v>16</v>
      </c>
      <c r="D296">
        <v>20</v>
      </c>
      <c r="E296">
        <v>150</v>
      </c>
      <c r="F296">
        <v>0.12</v>
      </c>
      <c r="G296" t="s">
        <v>14</v>
      </c>
    </row>
    <row r="297" spans="1:7" x14ac:dyDescent="0.3">
      <c r="A297">
        <v>43308</v>
      </c>
      <c r="B297" t="s">
        <v>7</v>
      </c>
      <c r="C297" t="s">
        <v>16</v>
      </c>
      <c r="D297">
        <v>5</v>
      </c>
      <c r="E297">
        <v>80</v>
      </c>
      <c r="F297">
        <v>0.09</v>
      </c>
      <c r="G297" t="s">
        <v>15</v>
      </c>
    </row>
    <row r="298" spans="1:7" x14ac:dyDescent="0.3">
      <c r="A298">
        <v>43308</v>
      </c>
      <c r="B298" t="s">
        <v>7</v>
      </c>
      <c r="C298" t="s">
        <v>18</v>
      </c>
      <c r="D298">
        <v>14</v>
      </c>
      <c r="E298">
        <v>80</v>
      </c>
      <c r="F298">
        <v>0.05</v>
      </c>
      <c r="G298" t="s">
        <v>17</v>
      </c>
    </row>
    <row r="299" spans="1:7" x14ac:dyDescent="0.3">
      <c r="A299">
        <v>43308</v>
      </c>
      <c r="B299" t="s">
        <v>13</v>
      </c>
      <c r="C299" t="s">
        <v>18</v>
      </c>
      <c r="D299">
        <v>7</v>
      </c>
      <c r="E299">
        <v>230</v>
      </c>
      <c r="F299">
        <v>0.06</v>
      </c>
      <c r="G299" t="s">
        <v>19</v>
      </c>
    </row>
    <row r="300" spans="1:7" x14ac:dyDescent="0.3">
      <c r="A300">
        <v>43308</v>
      </c>
      <c r="B300" t="s">
        <v>10</v>
      </c>
      <c r="C300" t="s">
        <v>18</v>
      </c>
      <c r="D300">
        <v>13</v>
      </c>
      <c r="E300">
        <v>40</v>
      </c>
      <c r="F300">
        <v>0.06</v>
      </c>
      <c r="G300" t="s">
        <v>22</v>
      </c>
    </row>
    <row r="301" spans="1:7" x14ac:dyDescent="0.3">
      <c r="A301">
        <v>43309</v>
      </c>
      <c r="B301" t="s">
        <v>20</v>
      </c>
      <c r="C301" t="s">
        <v>11</v>
      </c>
      <c r="D301">
        <v>15</v>
      </c>
      <c r="E301">
        <v>16</v>
      </c>
      <c r="F301">
        <v>0.02</v>
      </c>
      <c r="G301" t="s">
        <v>24</v>
      </c>
    </row>
    <row r="302" spans="1:7" x14ac:dyDescent="0.3">
      <c r="A302">
        <v>43309</v>
      </c>
      <c r="B302" t="s">
        <v>20</v>
      </c>
      <c r="C302" t="s">
        <v>18</v>
      </c>
      <c r="D302">
        <v>5</v>
      </c>
      <c r="E302">
        <v>16</v>
      </c>
      <c r="F302">
        <v>0.09</v>
      </c>
      <c r="G302" t="s">
        <v>25</v>
      </c>
    </row>
    <row r="303" spans="1:7" x14ac:dyDescent="0.3">
      <c r="A303">
        <v>43309</v>
      </c>
      <c r="B303" t="s">
        <v>20</v>
      </c>
      <c r="C303" t="s">
        <v>8</v>
      </c>
      <c r="D303">
        <v>22</v>
      </c>
      <c r="E303">
        <v>16</v>
      </c>
      <c r="F303">
        <v>0.06</v>
      </c>
      <c r="G303" t="s">
        <v>26</v>
      </c>
    </row>
    <row r="304" spans="1:7" x14ac:dyDescent="0.3">
      <c r="A304">
        <v>43309</v>
      </c>
      <c r="B304" t="s">
        <v>23</v>
      </c>
      <c r="C304" t="s">
        <v>16</v>
      </c>
      <c r="D304">
        <v>15</v>
      </c>
      <c r="E304">
        <v>150</v>
      </c>
      <c r="F304">
        <v>0.05</v>
      </c>
      <c r="G304" t="s">
        <v>27</v>
      </c>
    </row>
    <row r="305" spans="1:7" x14ac:dyDescent="0.3">
      <c r="A305">
        <v>43309</v>
      </c>
      <c r="B305" t="s">
        <v>13</v>
      </c>
      <c r="C305" t="s">
        <v>16</v>
      </c>
      <c r="D305">
        <v>5</v>
      </c>
      <c r="E305">
        <v>230</v>
      </c>
      <c r="F305">
        <v>0.01</v>
      </c>
      <c r="G305" t="s">
        <v>28</v>
      </c>
    </row>
    <row r="306" spans="1:7" x14ac:dyDescent="0.3">
      <c r="A306">
        <v>43309</v>
      </c>
      <c r="B306" t="s">
        <v>10</v>
      </c>
      <c r="C306" t="s">
        <v>8</v>
      </c>
      <c r="D306">
        <v>11</v>
      </c>
      <c r="E306">
        <v>40</v>
      </c>
      <c r="F306">
        <v>0.04</v>
      </c>
      <c r="G306" t="s">
        <v>9</v>
      </c>
    </row>
    <row r="307" spans="1:7" x14ac:dyDescent="0.3">
      <c r="A307">
        <v>43309</v>
      </c>
      <c r="B307" t="s">
        <v>23</v>
      </c>
      <c r="C307" t="s">
        <v>11</v>
      </c>
      <c r="D307">
        <v>13</v>
      </c>
      <c r="E307">
        <v>150</v>
      </c>
      <c r="F307">
        <v>0.08</v>
      </c>
      <c r="G307" t="s">
        <v>12</v>
      </c>
    </row>
    <row r="308" spans="1:7" x14ac:dyDescent="0.3">
      <c r="A308">
        <v>43309</v>
      </c>
      <c r="B308" t="s">
        <v>20</v>
      </c>
      <c r="C308" t="s">
        <v>21</v>
      </c>
      <c r="D308">
        <v>13</v>
      </c>
      <c r="E308">
        <v>16</v>
      </c>
      <c r="F308">
        <v>7.0000000000000007E-2</v>
      </c>
      <c r="G308" t="s">
        <v>14</v>
      </c>
    </row>
    <row r="309" spans="1:7" x14ac:dyDescent="0.3">
      <c r="A309">
        <v>43309</v>
      </c>
      <c r="B309" t="s">
        <v>20</v>
      </c>
      <c r="C309" t="s">
        <v>21</v>
      </c>
      <c r="D309">
        <v>3</v>
      </c>
      <c r="E309">
        <v>16</v>
      </c>
      <c r="F309">
        <v>0.03</v>
      </c>
      <c r="G309" t="s">
        <v>15</v>
      </c>
    </row>
    <row r="310" spans="1:7" x14ac:dyDescent="0.3">
      <c r="A310">
        <v>43310</v>
      </c>
      <c r="B310" t="s">
        <v>23</v>
      </c>
      <c r="C310" t="s">
        <v>11</v>
      </c>
      <c r="D310">
        <v>2</v>
      </c>
      <c r="E310">
        <v>150</v>
      </c>
      <c r="F310">
        <v>0.09</v>
      </c>
      <c r="G310" t="s">
        <v>17</v>
      </c>
    </row>
    <row r="311" spans="1:7" x14ac:dyDescent="0.3">
      <c r="A311">
        <v>43310</v>
      </c>
      <c r="B311" t="s">
        <v>13</v>
      </c>
      <c r="C311" t="s">
        <v>16</v>
      </c>
      <c r="D311">
        <v>14</v>
      </c>
      <c r="E311">
        <v>230</v>
      </c>
      <c r="F311">
        <v>0.03</v>
      </c>
      <c r="G311" t="s">
        <v>19</v>
      </c>
    </row>
    <row r="312" spans="1:7" x14ac:dyDescent="0.3">
      <c r="A312">
        <v>43310</v>
      </c>
      <c r="B312" t="s">
        <v>10</v>
      </c>
      <c r="C312" t="s">
        <v>16</v>
      </c>
      <c r="D312">
        <v>11</v>
      </c>
      <c r="E312">
        <v>40</v>
      </c>
      <c r="F312">
        <v>0.12</v>
      </c>
      <c r="G312" t="s">
        <v>22</v>
      </c>
    </row>
    <row r="313" spans="1:7" x14ac:dyDescent="0.3">
      <c r="A313">
        <v>43310</v>
      </c>
      <c r="B313" t="s">
        <v>20</v>
      </c>
      <c r="C313" t="s">
        <v>21</v>
      </c>
      <c r="D313">
        <v>3</v>
      </c>
      <c r="E313">
        <v>16</v>
      </c>
      <c r="F313">
        <v>0.06</v>
      </c>
      <c r="G313" t="s">
        <v>24</v>
      </c>
    </row>
    <row r="314" spans="1:7" x14ac:dyDescent="0.3">
      <c r="A314">
        <v>43310</v>
      </c>
      <c r="B314" t="s">
        <v>10</v>
      </c>
      <c r="C314" t="s">
        <v>21</v>
      </c>
      <c r="D314">
        <v>18</v>
      </c>
      <c r="E314">
        <v>40</v>
      </c>
      <c r="F314">
        <v>0.06</v>
      </c>
      <c r="G314" t="s">
        <v>25</v>
      </c>
    </row>
    <row r="315" spans="1:7" x14ac:dyDescent="0.3">
      <c r="A315">
        <v>43310</v>
      </c>
      <c r="B315" t="s">
        <v>13</v>
      </c>
      <c r="C315" t="s">
        <v>21</v>
      </c>
      <c r="D315">
        <v>7</v>
      </c>
      <c r="E315">
        <v>230</v>
      </c>
      <c r="F315">
        <v>0.05</v>
      </c>
      <c r="G315" t="s">
        <v>26</v>
      </c>
    </row>
    <row r="316" spans="1:7" x14ac:dyDescent="0.3">
      <c r="A316">
        <v>43310</v>
      </c>
      <c r="B316" t="s">
        <v>10</v>
      </c>
      <c r="C316" t="s">
        <v>21</v>
      </c>
      <c r="D316">
        <v>23</v>
      </c>
      <c r="E316">
        <v>40</v>
      </c>
      <c r="F316">
        <v>0.05</v>
      </c>
      <c r="G316" t="s">
        <v>27</v>
      </c>
    </row>
    <row r="317" spans="1:7" x14ac:dyDescent="0.3">
      <c r="A317">
        <v>43311</v>
      </c>
      <c r="B317" t="s">
        <v>13</v>
      </c>
      <c r="C317" t="s">
        <v>21</v>
      </c>
      <c r="D317">
        <v>2</v>
      </c>
      <c r="E317">
        <v>230</v>
      </c>
      <c r="F317">
        <v>0.08</v>
      </c>
      <c r="G317" t="s">
        <v>28</v>
      </c>
    </row>
    <row r="318" spans="1:7" x14ac:dyDescent="0.3">
      <c r="A318">
        <v>43311</v>
      </c>
      <c r="B318" t="s">
        <v>10</v>
      </c>
      <c r="C318" t="s">
        <v>18</v>
      </c>
      <c r="D318">
        <v>18</v>
      </c>
      <c r="E318">
        <v>40</v>
      </c>
      <c r="F318">
        <v>0.04</v>
      </c>
      <c r="G318" t="s">
        <v>9</v>
      </c>
    </row>
    <row r="319" spans="1:7" x14ac:dyDescent="0.3">
      <c r="A319">
        <v>43311</v>
      </c>
      <c r="B319" t="s">
        <v>13</v>
      </c>
      <c r="C319" t="s">
        <v>11</v>
      </c>
      <c r="D319">
        <v>7</v>
      </c>
      <c r="E319">
        <v>230</v>
      </c>
      <c r="F319">
        <v>0.05</v>
      </c>
      <c r="G319" t="s">
        <v>12</v>
      </c>
    </row>
    <row r="320" spans="1:7" x14ac:dyDescent="0.3">
      <c r="A320">
        <v>43311</v>
      </c>
      <c r="B320" t="s">
        <v>10</v>
      </c>
      <c r="C320" t="s">
        <v>21</v>
      </c>
      <c r="D320">
        <v>14</v>
      </c>
      <c r="E320">
        <v>40</v>
      </c>
      <c r="F320">
        <v>0.11</v>
      </c>
      <c r="G320" t="s">
        <v>14</v>
      </c>
    </row>
    <row r="321" spans="1:7" x14ac:dyDescent="0.3">
      <c r="A321">
        <v>43311</v>
      </c>
      <c r="B321" t="s">
        <v>23</v>
      </c>
      <c r="C321" t="s">
        <v>11</v>
      </c>
      <c r="D321">
        <v>13</v>
      </c>
      <c r="E321">
        <v>150</v>
      </c>
      <c r="F321">
        <v>0.02</v>
      </c>
      <c r="G321" t="s">
        <v>15</v>
      </c>
    </row>
    <row r="322" spans="1:7" x14ac:dyDescent="0.3">
      <c r="A322">
        <v>43311</v>
      </c>
      <c r="B322" t="s">
        <v>7</v>
      </c>
      <c r="C322" t="s">
        <v>8</v>
      </c>
      <c r="D322">
        <v>12</v>
      </c>
      <c r="E322">
        <v>80</v>
      </c>
      <c r="F322">
        <v>0.04</v>
      </c>
      <c r="G322" t="s">
        <v>17</v>
      </c>
    </row>
    <row r="323" spans="1:7" x14ac:dyDescent="0.3">
      <c r="A323">
        <v>43311</v>
      </c>
      <c r="B323" t="s">
        <v>13</v>
      </c>
      <c r="C323" t="s">
        <v>21</v>
      </c>
      <c r="D323">
        <v>20</v>
      </c>
      <c r="E323">
        <v>230</v>
      </c>
      <c r="F323">
        <v>0.09</v>
      </c>
      <c r="G323" t="s">
        <v>19</v>
      </c>
    </row>
    <row r="324" spans="1:7" x14ac:dyDescent="0.3">
      <c r="A324">
        <v>43311</v>
      </c>
      <c r="B324" t="s">
        <v>10</v>
      </c>
      <c r="C324" t="s">
        <v>21</v>
      </c>
      <c r="D324">
        <v>5</v>
      </c>
      <c r="E324">
        <v>40</v>
      </c>
      <c r="F324">
        <v>0.03</v>
      </c>
      <c r="G324" t="s">
        <v>22</v>
      </c>
    </row>
    <row r="325" spans="1:7" x14ac:dyDescent="0.3">
      <c r="A325">
        <v>43311</v>
      </c>
      <c r="B325" t="s">
        <v>20</v>
      </c>
      <c r="C325" t="s">
        <v>21</v>
      </c>
      <c r="D325">
        <v>2</v>
      </c>
      <c r="E325">
        <v>16</v>
      </c>
      <c r="F325">
        <v>0.04</v>
      </c>
      <c r="G325" t="s">
        <v>24</v>
      </c>
    </row>
    <row r="326" spans="1:7" x14ac:dyDescent="0.3">
      <c r="A326">
        <v>43282</v>
      </c>
      <c r="B326" t="s">
        <v>7</v>
      </c>
      <c r="C326" t="s">
        <v>16</v>
      </c>
      <c r="D326">
        <v>10</v>
      </c>
      <c r="E326">
        <v>80</v>
      </c>
      <c r="F326">
        <v>0.08</v>
      </c>
      <c r="G326" t="s">
        <v>25</v>
      </c>
    </row>
    <row r="327" spans="1:7" x14ac:dyDescent="0.3">
      <c r="A327">
        <v>43282</v>
      </c>
      <c r="B327" t="s">
        <v>10</v>
      </c>
      <c r="C327" t="s">
        <v>18</v>
      </c>
      <c r="D327">
        <v>18</v>
      </c>
      <c r="E327">
        <v>40</v>
      </c>
      <c r="F327">
        <v>0.06</v>
      </c>
      <c r="G327" t="s">
        <v>26</v>
      </c>
    </row>
    <row r="328" spans="1:7" x14ac:dyDescent="0.3">
      <c r="A328">
        <v>43282</v>
      </c>
      <c r="B328" t="s">
        <v>13</v>
      </c>
      <c r="C328" t="s">
        <v>11</v>
      </c>
      <c r="D328">
        <v>7</v>
      </c>
      <c r="E328">
        <v>230</v>
      </c>
      <c r="F328">
        <v>0.08</v>
      </c>
      <c r="G328" t="s">
        <v>27</v>
      </c>
    </row>
    <row r="329" spans="1:7" x14ac:dyDescent="0.3">
      <c r="A329">
        <v>43282</v>
      </c>
      <c r="B329" t="s">
        <v>10</v>
      </c>
      <c r="C329" t="s">
        <v>18</v>
      </c>
      <c r="D329">
        <v>15</v>
      </c>
      <c r="E329">
        <v>40</v>
      </c>
      <c r="F329">
        <v>0.03</v>
      </c>
      <c r="G329" t="s">
        <v>28</v>
      </c>
    </row>
    <row r="330" spans="1:7" x14ac:dyDescent="0.3">
      <c r="A330">
        <v>43282</v>
      </c>
      <c r="B330" t="s">
        <v>20</v>
      </c>
      <c r="C330" t="s">
        <v>16</v>
      </c>
      <c r="D330">
        <v>6</v>
      </c>
      <c r="E330">
        <v>16</v>
      </c>
      <c r="F330">
        <v>0.01</v>
      </c>
      <c r="G330" t="s">
        <v>9</v>
      </c>
    </row>
    <row r="331" spans="1:7" x14ac:dyDescent="0.3">
      <c r="A331">
        <v>43282</v>
      </c>
      <c r="B331" t="s">
        <v>23</v>
      </c>
      <c r="C331" t="s">
        <v>18</v>
      </c>
      <c r="D331">
        <v>9</v>
      </c>
      <c r="E331">
        <v>150</v>
      </c>
      <c r="F331">
        <v>0.02</v>
      </c>
      <c r="G331" t="s">
        <v>12</v>
      </c>
    </row>
    <row r="332" spans="1:7" x14ac:dyDescent="0.3">
      <c r="A332">
        <v>43282</v>
      </c>
      <c r="B332" t="s">
        <v>20</v>
      </c>
      <c r="C332" t="s">
        <v>21</v>
      </c>
      <c r="D332">
        <v>15</v>
      </c>
      <c r="E332">
        <v>16</v>
      </c>
      <c r="F332">
        <v>0.01</v>
      </c>
      <c r="G332" t="s">
        <v>14</v>
      </c>
    </row>
    <row r="333" spans="1:7" x14ac:dyDescent="0.3">
      <c r="A333">
        <v>43282</v>
      </c>
      <c r="B333" t="s">
        <v>7</v>
      </c>
      <c r="C333" t="s">
        <v>21</v>
      </c>
      <c r="D333">
        <v>22</v>
      </c>
      <c r="E333">
        <v>80</v>
      </c>
      <c r="F333">
        <v>0.11</v>
      </c>
      <c r="G333" t="s">
        <v>15</v>
      </c>
    </row>
    <row r="334" spans="1:7" x14ac:dyDescent="0.3">
      <c r="A334">
        <v>43282</v>
      </c>
      <c r="B334" t="s">
        <v>23</v>
      </c>
      <c r="C334" t="s">
        <v>11</v>
      </c>
      <c r="D334">
        <v>13</v>
      </c>
      <c r="E334">
        <v>150</v>
      </c>
      <c r="F334">
        <v>0.02</v>
      </c>
      <c r="G334" t="s">
        <v>17</v>
      </c>
    </row>
    <row r="335" spans="1:7" x14ac:dyDescent="0.3">
      <c r="A335">
        <v>43283</v>
      </c>
      <c r="B335" t="s">
        <v>20</v>
      </c>
      <c r="C335" t="s">
        <v>16</v>
      </c>
      <c r="D335">
        <v>12</v>
      </c>
      <c r="E335">
        <v>16</v>
      </c>
      <c r="F335">
        <v>0.03</v>
      </c>
      <c r="G335" t="s">
        <v>19</v>
      </c>
    </row>
    <row r="336" spans="1:7" x14ac:dyDescent="0.3">
      <c r="A336">
        <v>43283</v>
      </c>
      <c r="B336" t="s">
        <v>10</v>
      </c>
      <c r="C336" t="s">
        <v>18</v>
      </c>
      <c r="D336">
        <v>4</v>
      </c>
      <c r="E336">
        <v>40</v>
      </c>
      <c r="F336">
        <v>0.05</v>
      </c>
      <c r="G336" t="s">
        <v>22</v>
      </c>
    </row>
    <row r="337" spans="1:7" x14ac:dyDescent="0.3">
      <c r="A337">
        <v>43283</v>
      </c>
      <c r="B337" t="s">
        <v>13</v>
      </c>
      <c r="C337" t="s">
        <v>11</v>
      </c>
      <c r="D337">
        <v>19</v>
      </c>
      <c r="E337">
        <v>230</v>
      </c>
      <c r="F337">
        <v>0.11</v>
      </c>
      <c r="G337" t="s">
        <v>24</v>
      </c>
    </row>
    <row r="338" spans="1:7" x14ac:dyDescent="0.3">
      <c r="A338">
        <v>43283</v>
      </c>
      <c r="B338" t="s">
        <v>10</v>
      </c>
      <c r="C338" t="s">
        <v>11</v>
      </c>
      <c r="D338">
        <v>4</v>
      </c>
      <c r="E338">
        <v>40</v>
      </c>
      <c r="F338">
        <v>0.06</v>
      </c>
      <c r="G338" t="s">
        <v>25</v>
      </c>
    </row>
    <row r="339" spans="1:7" x14ac:dyDescent="0.3">
      <c r="A339">
        <v>43283</v>
      </c>
      <c r="B339" t="s">
        <v>20</v>
      </c>
      <c r="C339" t="s">
        <v>16</v>
      </c>
      <c r="D339">
        <v>6</v>
      </c>
      <c r="E339">
        <v>16</v>
      </c>
      <c r="F339">
        <v>7.0000000000000007E-2</v>
      </c>
      <c r="G339" t="s">
        <v>26</v>
      </c>
    </row>
    <row r="340" spans="1:7" x14ac:dyDescent="0.3">
      <c r="A340">
        <v>43283</v>
      </c>
      <c r="B340" t="s">
        <v>13</v>
      </c>
      <c r="C340" t="s">
        <v>16</v>
      </c>
      <c r="D340">
        <v>15</v>
      </c>
      <c r="E340">
        <v>230</v>
      </c>
      <c r="F340">
        <v>0.11</v>
      </c>
      <c r="G340" t="s">
        <v>27</v>
      </c>
    </row>
    <row r="341" spans="1:7" x14ac:dyDescent="0.3">
      <c r="A341">
        <v>43283</v>
      </c>
      <c r="B341" t="s">
        <v>7</v>
      </c>
      <c r="C341" t="s">
        <v>16</v>
      </c>
      <c r="D341">
        <v>16</v>
      </c>
      <c r="E341">
        <v>80</v>
      </c>
      <c r="F341">
        <v>0.04</v>
      </c>
      <c r="G341" t="s">
        <v>28</v>
      </c>
    </row>
    <row r="342" spans="1:7" x14ac:dyDescent="0.3">
      <c r="A342">
        <v>43283</v>
      </c>
      <c r="B342" t="s">
        <v>10</v>
      </c>
      <c r="C342" t="s">
        <v>8</v>
      </c>
      <c r="D342">
        <v>7</v>
      </c>
      <c r="E342">
        <v>40</v>
      </c>
      <c r="F342">
        <v>0.1</v>
      </c>
      <c r="G342" t="s">
        <v>9</v>
      </c>
    </row>
    <row r="343" spans="1:7" x14ac:dyDescent="0.3">
      <c r="A343">
        <v>43283</v>
      </c>
      <c r="B343" t="s">
        <v>10</v>
      </c>
      <c r="C343" t="s">
        <v>16</v>
      </c>
      <c r="D343">
        <v>11</v>
      </c>
      <c r="E343">
        <v>40</v>
      </c>
      <c r="F343">
        <v>0.05</v>
      </c>
      <c r="G343" t="s">
        <v>12</v>
      </c>
    </row>
    <row r="344" spans="1:7" x14ac:dyDescent="0.3">
      <c r="A344">
        <v>43283</v>
      </c>
      <c r="B344" t="s">
        <v>7</v>
      </c>
      <c r="C344" t="s">
        <v>21</v>
      </c>
      <c r="D344">
        <v>9</v>
      </c>
      <c r="E344">
        <v>80</v>
      </c>
      <c r="F344">
        <v>0.06</v>
      </c>
      <c r="G344" t="s">
        <v>14</v>
      </c>
    </row>
    <row r="345" spans="1:7" x14ac:dyDescent="0.3">
      <c r="A345">
        <v>43283</v>
      </c>
      <c r="B345" t="s">
        <v>7</v>
      </c>
      <c r="C345" t="s">
        <v>11</v>
      </c>
      <c r="D345">
        <v>21</v>
      </c>
      <c r="E345">
        <v>80</v>
      </c>
      <c r="F345">
        <v>0.04</v>
      </c>
      <c r="G345" t="s">
        <v>15</v>
      </c>
    </row>
    <row r="346" spans="1:7" x14ac:dyDescent="0.3">
      <c r="A346">
        <v>43283</v>
      </c>
      <c r="B346" t="s">
        <v>10</v>
      </c>
      <c r="C346" t="s">
        <v>16</v>
      </c>
      <c r="D346">
        <v>2</v>
      </c>
      <c r="E346">
        <v>40</v>
      </c>
      <c r="F346">
        <v>0.03</v>
      </c>
      <c r="G346" t="s">
        <v>17</v>
      </c>
    </row>
    <row r="347" spans="1:7" x14ac:dyDescent="0.3">
      <c r="A347">
        <v>43284</v>
      </c>
      <c r="B347" t="s">
        <v>20</v>
      </c>
      <c r="C347" t="s">
        <v>16</v>
      </c>
      <c r="D347">
        <v>17</v>
      </c>
      <c r="E347">
        <v>16</v>
      </c>
      <c r="F347">
        <v>0.05</v>
      </c>
      <c r="G347" t="s">
        <v>19</v>
      </c>
    </row>
    <row r="348" spans="1:7" x14ac:dyDescent="0.3">
      <c r="A348">
        <v>43284</v>
      </c>
      <c r="B348" t="s">
        <v>10</v>
      </c>
      <c r="C348" t="s">
        <v>8</v>
      </c>
      <c r="D348">
        <v>18</v>
      </c>
      <c r="E348">
        <v>40</v>
      </c>
      <c r="F348">
        <v>0.06</v>
      </c>
      <c r="G348" t="s">
        <v>22</v>
      </c>
    </row>
    <row r="349" spans="1:7" x14ac:dyDescent="0.3">
      <c r="A349">
        <v>43284</v>
      </c>
      <c r="B349" t="s">
        <v>10</v>
      </c>
      <c r="C349" t="s">
        <v>8</v>
      </c>
      <c r="D349">
        <v>9</v>
      </c>
      <c r="E349">
        <v>40</v>
      </c>
      <c r="F349">
        <v>0.01</v>
      </c>
      <c r="G349" t="s">
        <v>24</v>
      </c>
    </row>
    <row r="350" spans="1:7" x14ac:dyDescent="0.3">
      <c r="A350">
        <v>43284</v>
      </c>
      <c r="B350" t="s">
        <v>10</v>
      </c>
      <c r="C350" t="s">
        <v>11</v>
      </c>
      <c r="D350">
        <v>7</v>
      </c>
      <c r="E350">
        <v>40</v>
      </c>
      <c r="F350">
        <v>0.01</v>
      </c>
      <c r="G350" t="s">
        <v>25</v>
      </c>
    </row>
    <row r="351" spans="1:7" x14ac:dyDescent="0.3">
      <c r="A351">
        <v>43284</v>
      </c>
      <c r="B351" t="s">
        <v>13</v>
      </c>
      <c r="C351" t="s">
        <v>16</v>
      </c>
      <c r="D351">
        <v>12</v>
      </c>
      <c r="E351">
        <v>230</v>
      </c>
      <c r="F351">
        <v>0.06</v>
      </c>
      <c r="G351" t="s">
        <v>26</v>
      </c>
    </row>
    <row r="352" spans="1:7" x14ac:dyDescent="0.3">
      <c r="A352">
        <v>43284</v>
      </c>
      <c r="B352" t="s">
        <v>20</v>
      </c>
      <c r="C352" t="s">
        <v>11</v>
      </c>
      <c r="D352">
        <v>22</v>
      </c>
      <c r="E352">
        <v>16</v>
      </c>
      <c r="F352">
        <v>0.04</v>
      </c>
      <c r="G352" t="s">
        <v>9</v>
      </c>
    </row>
    <row r="353" spans="1:7" x14ac:dyDescent="0.3">
      <c r="A353">
        <v>43285</v>
      </c>
      <c r="B353" t="s">
        <v>23</v>
      </c>
      <c r="C353" t="s">
        <v>8</v>
      </c>
      <c r="D353">
        <v>5</v>
      </c>
      <c r="E353">
        <v>150</v>
      </c>
      <c r="F353">
        <v>0.11</v>
      </c>
      <c r="G353" t="s">
        <v>12</v>
      </c>
    </row>
    <row r="354" spans="1:7" x14ac:dyDescent="0.3">
      <c r="A354">
        <v>43285</v>
      </c>
      <c r="B354" t="s">
        <v>7</v>
      </c>
      <c r="C354" t="s">
        <v>11</v>
      </c>
      <c r="D354">
        <v>14</v>
      </c>
      <c r="E354">
        <v>80</v>
      </c>
      <c r="F354">
        <v>0.11</v>
      </c>
      <c r="G354" t="s">
        <v>14</v>
      </c>
    </row>
    <row r="355" spans="1:7" x14ac:dyDescent="0.3">
      <c r="A355">
        <v>43285</v>
      </c>
      <c r="B355" t="s">
        <v>20</v>
      </c>
      <c r="C355" t="s">
        <v>16</v>
      </c>
      <c r="D355">
        <v>8</v>
      </c>
      <c r="E355">
        <v>16</v>
      </c>
      <c r="F355">
        <v>0.03</v>
      </c>
      <c r="G355" t="s">
        <v>15</v>
      </c>
    </row>
    <row r="356" spans="1:7" x14ac:dyDescent="0.3">
      <c r="A356">
        <v>43285</v>
      </c>
      <c r="B356" t="s">
        <v>13</v>
      </c>
      <c r="C356" t="s">
        <v>16</v>
      </c>
      <c r="D356">
        <v>6</v>
      </c>
      <c r="E356">
        <v>230</v>
      </c>
      <c r="F356">
        <v>0.05</v>
      </c>
      <c r="G356" t="s">
        <v>17</v>
      </c>
    </row>
    <row r="357" spans="1:7" x14ac:dyDescent="0.3">
      <c r="A357">
        <v>43285</v>
      </c>
      <c r="B357" t="s">
        <v>20</v>
      </c>
      <c r="C357" t="s">
        <v>18</v>
      </c>
      <c r="D357">
        <v>7</v>
      </c>
      <c r="E357">
        <v>16</v>
      </c>
      <c r="F357">
        <v>0.08</v>
      </c>
      <c r="G357" t="s">
        <v>19</v>
      </c>
    </row>
    <row r="358" spans="1:7" x14ac:dyDescent="0.3">
      <c r="A358">
        <v>43285</v>
      </c>
      <c r="B358" t="s">
        <v>7</v>
      </c>
      <c r="C358" t="s">
        <v>11</v>
      </c>
      <c r="D358">
        <v>16</v>
      </c>
      <c r="E358">
        <v>80</v>
      </c>
      <c r="F358">
        <v>0.04</v>
      </c>
      <c r="G358" t="s">
        <v>22</v>
      </c>
    </row>
    <row r="359" spans="1:7" x14ac:dyDescent="0.3">
      <c r="A359">
        <v>43285</v>
      </c>
      <c r="B359" t="s">
        <v>23</v>
      </c>
      <c r="C359" t="s">
        <v>8</v>
      </c>
      <c r="D359">
        <v>17</v>
      </c>
      <c r="E359">
        <v>150</v>
      </c>
      <c r="F359">
        <v>0.12</v>
      </c>
      <c r="G359" t="s">
        <v>24</v>
      </c>
    </row>
    <row r="360" spans="1:7" x14ac:dyDescent="0.3">
      <c r="A360">
        <v>43285</v>
      </c>
      <c r="B360" t="s">
        <v>20</v>
      </c>
      <c r="C360" t="s">
        <v>11</v>
      </c>
      <c r="D360">
        <v>7</v>
      </c>
      <c r="E360">
        <v>16</v>
      </c>
      <c r="F360">
        <v>0.08</v>
      </c>
      <c r="G360" t="s">
        <v>25</v>
      </c>
    </row>
    <row r="361" spans="1:7" x14ac:dyDescent="0.3">
      <c r="A361">
        <v>43286</v>
      </c>
      <c r="B361" t="s">
        <v>20</v>
      </c>
      <c r="C361" t="s">
        <v>8</v>
      </c>
      <c r="D361">
        <v>21</v>
      </c>
      <c r="E361">
        <v>16</v>
      </c>
      <c r="F361">
        <v>0.09</v>
      </c>
      <c r="G361" t="s">
        <v>26</v>
      </c>
    </row>
    <row r="362" spans="1:7" x14ac:dyDescent="0.3">
      <c r="A362">
        <v>43286</v>
      </c>
      <c r="B362" t="s">
        <v>20</v>
      </c>
      <c r="C362" t="s">
        <v>16</v>
      </c>
      <c r="D362">
        <v>23</v>
      </c>
      <c r="E362">
        <v>16</v>
      </c>
      <c r="F362">
        <v>0.11</v>
      </c>
      <c r="G362" t="s">
        <v>27</v>
      </c>
    </row>
    <row r="363" spans="1:7" x14ac:dyDescent="0.3">
      <c r="A363">
        <v>43286</v>
      </c>
      <c r="B363" t="s">
        <v>23</v>
      </c>
      <c r="C363" t="s">
        <v>16</v>
      </c>
      <c r="D363">
        <v>2</v>
      </c>
      <c r="E363">
        <v>150</v>
      </c>
      <c r="F363">
        <v>0.02</v>
      </c>
      <c r="G363" t="s">
        <v>28</v>
      </c>
    </row>
    <row r="364" spans="1:7" x14ac:dyDescent="0.3">
      <c r="A364">
        <v>43286</v>
      </c>
      <c r="B364" t="s">
        <v>23</v>
      </c>
      <c r="C364" t="s">
        <v>8</v>
      </c>
      <c r="D364">
        <v>22</v>
      </c>
      <c r="E364">
        <v>150</v>
      </c>
      <c r="F364">
        <v>7.0000000000000007E-2</v>
      </c>
      <c r="G364" t="s">
        <v>9</v>
      </c>
    </row>
    <row r="365" spans="1:7" x14ac:dyDescent="0.3">
      <c r="A365">
        <v>43286</v>
      </c>
      <c r="B365" t="s">
        <v>10</v>
      </c>
      <c r="C365" t="s">
        <v>18</v>
      </c>
      <c r="D365">
        <v>22</v>
      </c>
      <c r="E365">
        <v>40</v>
      </c>
      <c r="F365">
        <v>0.01</v>
      </c>
      <c r="G365" t="s">
        <v>12</v>
      </c>
    </row>
    <row r="366" spans="1:7" x14ac:dyDescent="0.3">
      <c r="A366">
        <v>43286</v>
      </c>
      <c r="B366" t="s">
        <v>7</v>
      </c>
      <c r="C366" t="s">
        <v>11</v>
      </c>
      <c r="D366">
        <v>10</v>
      </c>
      <c r="E366">
        <v>80</v>
      </c>
      <c r="F366">
        <v>0.11</v>
      </c>
      <c r="G366" t="s">
        <v>14</v>
      </c>
    </row>
    <row r="367" spans="1:7" x14ac:dyDescent="0.3">
      <c r="A367">
        <v>43286</v>
      </c>
      <c r="B367" t="s">
        <v>7</v>
      </c>
      <c r="C367" t="s">
        <v>21</v>
      </c>
      <c r="D367">
        <v>13</v>
      </c>
      <c r="E367">
        <v>80</v>
      </c>
      <c r="F367">
        <v>0.05</v>
      </c>
      <c r="G367" t="s">
        <v>15</v>
      </c>
    </row>
    <row r="368" spans="1:7" x14ac:dyDescent="0.3">
      <c r="A368">
        <v>43286</v>
      </c>
      <c r="B368" t="s">
        <v>13</v>
      </c>
      <c r="C368" t="s">
        <v>18</v>
      </c>
      <c r="D368">
        <v>11</v>
      </c>
      <c r="E368">
        <v>230</v>
      </c>
      <c r="F368">
        <v>0.12</v>
      </c>
      <c r="G368" t="s">
        <v>17</v>
      </c>
    </row>
    <row r="369" spans="1:7" x14ac:dyDescent="0.3">
      <c r="A369">
        <v>43286</v>
      </c>
      <c r="B369" t="s">
        <v>13</v>
      </c>
      <c r="C369" t="s">
        <v>8</v>
      </c>
      <c r="D369">
        <v>9</v>
      </c>
      <c r="E369">
        <v>230</v>
      </c>
      <c r="F369">
        <v>7.0000000000000007E-2</v>
      </c>
      <c r="G369" t="s">
        <v>19</v>
      </c>
    </row>
    <row r="370" spans="1:7" x14ac:dyDescent="0.3">
      <c r="A370">
        <v>43286</v>
      </c>
      <c r="B370" t="s">
        <v>13</v>
      </c>
      <c r="C370" t="s">
        <v>18</v>
      </c>
      <c r="D370">
        <v>16</v>
      </c>
      <c r="E370">
        <v>230</v>
      </c>
      <c r="F370">
        <v>0.11</v>
      </c>
      <c r="G370" t="s">
        <v>22</v>
      </c>
    </row>
    <row r="371" spans="1:7" x14ac:dyDescent="0.3">
      <c r="A371">
        <v>43286</v>
      </c>
      <c r="B371" t="s">
        <v>13</v>
      </c>
      <c r="C371" t="s">
        <v>18</v>
      </c>
      <c r="D371">
        <v>18</v>
      </c>
      <c r="E371">
        <v>230</v>
      </c>
      <c r="F371">
        <v>0.01</v>
      </c>
      <c r="G371" t="s">
        <v>24</v>
      </c>
    </row>
    <row r="372" spans="1:7" x14ac:dyDescent="0.3">
      <c r="A372">
        <v>43286</v>
      </c>
      <c r="B372" t="s">
        <v>20</v>
      </c>
      <c r="C372" t="s">
        <v>11</v>
      </c>
      <c r="D372">
        <v>15</v>
      </c>
      <c r="E372">
        <v>16</v>
      </c>
      <c r="F372">
        <v>0.02</v>
      </c>
      <c r="G372" t="s">
        <v>25</v>
      </c>
    </row>
    <row r="373" spans="1:7" x14ac:dyDescent="0.3">
      <c r="A373">
        <v>43286</v>
      </c>
      <c r="B373" t="s">
        <v>10</v>
      </c>
      <c r="C373" t="s">
        <v>21</v>
      </c>
      <c r="D373">
        <v>18</v>
      </c>
      <c r="E373">
        <v>40</v>
      </c>
      <c r="F373">
        <v>0.06</v>
      </c>
      <c r="G373" t="s">
        <v>26</v>
      </c>
    </row>
    <row r="374" spans="1:7" x14ac:dyDescent="0.3">
      <c r="A374">
        <v>43286</v>
      </c>
      <c r="B374" t="s">
        <v>10</v>
      </c>
      <c r="C374" t="s">
        <v>18</v>
      </c>
      <c r="D374">
        <v>18</v>
      </c>
      <c r="E374">
        <v>40</v>
      </c>
      <c r="F374">
        <v>0.04</v>
      </c>
      <c r="G374" t="s">
        <v>27</v>
      </c>
    </row>
    <row r="375" spans="1:7" x14ac:dyDescent="0.3">
      <c r="A375">
        <v>43286</v>
      </c>
      <c r="B375" t="s">
        <v>20</v>
      </c>
      <c r="C375" t="s">
        <v>18</v>
      </c>
      <c r="D375">
        <v>22</v>
      </c>
      <c r="E375">
        <v>16</v>
      </c>
      <c r="F375">
        <v>0.03</v>
      </c>
      <c r="G375" t="s">
        <v>28</v>
      </c>
    </row>
    <row r="376" spans="1:7" x14ac:dyDescent="0.3">
      <c r="A376">
        <v>43286</v>
      </c>
      <c r="B376" t="s">
        <v>20</v>
      </c>
      <c r="C376" t="s">
        <v>16</v>
      </c>
      <c r="D376">
        <v>12</v>
      </c>
      <c r="E376">
        <v>16</v>
      </c>
      <c r="F376">
        <v>0.11</v>
      </c>
      <c r="G376" t="s">
        <v>9</v>
      </c>
    </row>
    <row r="377" spans="1:7" x14ac:dyDescent="0.3">
      <c r="A377">
        <v>43287</v>
      </c>
      <c r="B377" t="s">
        <v>7</v>
      </c>
      <c r="C377" t="s">
        <v>8</v>
      </c>
      <c r="D377">
        <v>20</v>
      </c>
      <c r="E377">
        <v>80</v>
      </c>
      <c r="F377">
        <v>0.01</v>
      </c>
      <c r="G377" t="s">
        <v>12</v>
      </c>
    </row>
    <row r="378" spans="1:7" x14ac:dyDescent="0.3">
      <c r="A378">
        <v>43287</v>
      </c>
      <c r="B378" t="s">
        <v>13</v>
      </c>
      <c r="C378" t="s">
        <v>16</v>
      </c>
      <c r="D378">
        <v>10</v>
      </c>
      <c r="E378">
        <v>230</v>
      </c>
      <c r="F378">
        <v>0.02</v>
      </c>
      <c r="G378" t="s">
        <v>14</v>
      </c>
    </row>
    <row r="379" spans="1:7" x14ac:dyDescent="0.3">
      <c r="A379">
        <v>43287</v>
      </c>
      <c r="B379" t="s">
        <v>13</v>
      </c>
      <c r="C379" t="s">
        <v>11</v>
      </c>
      <c r="D379">
        <v>9</v>
      </c>
      <c r="E379">
        <v>230</v>
      </c>
      <c r="F379">
        <v>0.03</v>
      </c>
      <c r="G379" t="s">
        <v>15</v>
      </c>
    </row>
    <row r="380" spans="1:7" x14ac:dyDescent="0.3">
      <c r="A380">
        <v>43287</v>
      </c>
      <c r="B380" t="s">
        <v>7</v>
      </c>
      <c r="C380" t="s">
        <v>11</v>
      </c>
      <c r="D380">
        <v>17</v>
      </c>
      <c r="E380">
        <v>80</v>
      </c>
      <c r="F380">
        <v>0.03</v>
      </c>
      <c r="G380" t="s">
        <v>17</v>
      </c>
    </row>
    <row r="381" spans="1:7" x14ac:dyDescent="0.3">
      <c r="A381">
        <v>43287</v>
      </c>
      <c r="B381" t="s">
        <v>10</v>
      </c>
      <c r="C381" t="s">
        <v>21</v>
      </c>
      <c r="D381">
        <v>4</v>
      </c>
      <c r="E381">
        <v>40</v>
      </c>
      <c r="F381">
        <v>0.09</v>
      </c>
      <c r="G381" t="s">
        <v>19</v>
      </c>
    </row>
    <row r="382" spans="1:7" x14ac:dyDescent="0.3">
      <c r="A382">
        <v>43287</v>
      </c>
      <c r="B382" t="s">
        <v>23</v>
      </c>
      <c r="C382" t="s">
        <v>11</v>
      </c>
      <c r="D382">
        <v>16</v>
      </c>
      <c r="E382">
        <v>150</v>
      </c>
      <c r="F382">
        <v>0.03</v>
      </c>
      <c r="G382" t="s">
        <v>22</v>
      </c>
    </row>
    <row r="383" spans="1:7" x14ac:dyDescent="0.3">
      <c r="A383">
        <v>43287</v>
      </c>
      <c r="B383" t="s">
        <v>7</v>
      </c>
      <c r="C383" t="s">
        <v>16</v>
      </c>
      <c r="D383">
        <v>8</v>
      </c>
      <c r="E383">
        <v>80</v>
      </c>
      <c r="F383">
        <v>0.02</v>
      </c>
      <c r="G383" t="s">
        <v>24</v>
      </c>
    </row>
    <row r="384" spans="1:7" x14ac:dyDescent="0.3">
      <c r="A384">
        <v>43287</v>
      </c>
      <c r="B384" t="s">
        <v>10</v>
      </c>
      <c r="C384" t="s">
        <v>18</v>
      </c>
      <c r="D384">
        <v>23</v>
      </c>
      <c r="E384">
        <v>40</v>
      </c>
      <c r="F384">
        <v>0.06</v>
      </c>
      <c r="G384" t="s">
        <v>25</v>
      </c>
    </row>
    <row r="385" spans="1:7" x14ac:dyDescent="0.3">
      <c r="A385">
        <v>43288</v>
      </c>
      <c r="B385" t="s">
        <v>23</v>
      </c>
      <c r="C385" t="s">
        <v>18</v>
      </c>
      <c r="D385">
        <v>20</v>
      </c>
      <c r="E385">
        <v>150</v>
      </c>
      <c r="F385">
        <v>0.1</v>
      </c>
      <c r="G385" t="s">
        <v>26</v>
      </c>
    </row>
    <row r="386" spans="1:7" x14ac:dyDescent="0.3">
      <c r="A386">
        <v>43288</v>
      </c>
      <c r="B386" t="s">
        <v>13</v>
      </c>
      <c r="C386" t="s">
        <v>21</v>
      </c>
      <c r="D386">
        <v>22</v>
      </c>
      <c r="E386">
        <v>230</v>
      </c>
      <c r="F386">
        <v>0.1</v>
      </c>
      <c r="G386" t="s">
        <v>27</v>
      </c>
    </row>
    <row r="387" spans="1:7" x14ac:dyDescent="0.3">
      <c r="A387">
        <v>43288</v>
      </c>
      <c r="B387" t="s">
        <v>13</v>
      </c>
      <c r="C387" t="s">
        <v>11</v>
      </c>
      <c r="D387">
        <v>6</v>
      </c>
      <c r="E387">
        <v>230</v>
      </c>
      <c r="F387">
        <v>0.1</v>
      </c>
      <c r="G387" t="s">
        <v>28</v>
      </c>
    </row>
    <row r="388" spans="1:7" x14ac:dyDescent="0.3">
      <c r="A388">
        <v>43288</v>
      </c>
      <c r="B388" t="s">
        <v>7</v>
      </c>
      <c r="C388" t="s">
        <v>18</v>
      </c>
      <c r="D388">
        <v>10</v>
      </c>
      <c r="E388">
        <v>80</v>
      </c>
      <c r="F388">
        <v>0.1</v>
      </c>
      <c r="G388" t="s">
        <v>9</v>
      </c>
    </row>
    <row r="389" spans="1:7" x14ac:dyDescent="0.3">
      <c r="A389">
        <v>43288</v>
      </c>
      <c r="B389" t="s">
        <v>13</v>
      </c>
      <c r="C389" t="s">
        <v>21</v>
      </c>
      <c r="D389">
        <v>21</v>
      </c>
      <c r="E389">
        <v>230</v>
      </c>
      <c r="F389">
        <v>0.05</v>
      </c>
      <c r="G389" t="s">
        <v>12</v>
      </c>
    </row>
    <row r="390" spans="1:7" x14ac:dyDescent="0.3">
      <c r="A390">
        <v>43288</v>
      </c>
      <c r="B390" t="s">
        <v>13</v>
      </c>
      <c r="C390" t="s">
        <v>8</v>
      </c>
      <c r="D390">
        <v>20</v>
      </c>
      <c r="E390">
        <v>230</v>
      </c>
      <c r="F390">
        <v>0.04</v>
      </c>
      <c r="G390" t="s">
        <v>14</v>
      </c>
    </row>
    <row r="391" spans="1:7" x14ac:dyDescent="0.3">
      <c r="A391">
        <v>43288</v>
      </c>
      <c r="B391" t="s">
        <v>7</v>
      </c>
      <c r="C391" t="s">
        <v>16</v>
      </c>
      <c r="D391">
        <v>20</v>
      </c>
      <c r="E391">
        <v>80</v>
      </c>
      <c r="F391">
        <v>7.0000000000000007E-2</v>
      </c>
      <c r="G391" t="s">
        <v>15</v>
      </c>
    </row>
    <row r="392" spans="1:7" x14ac:dyDescent="0.3">
      <c r="A392">
        <v>43288</v>
      </c>
      <c r="B392" t="s">
        <v>7</v>
      </c>
      <c r="C392" t="s">
        <v>16</v>
      </c>
      <c r="D392">
        <v>7</v>
      </c>
      <c r="E392">
        <v>80</v>
      </c>
      <c r="F392">
        <v>0.05</v>
      </c>
      <c r="G392" t="s">
        <v>17</v>
      </c>
    </row>
    <row r="393" spans="1:7" x14ac:dyDescent="0.3">
      <c r="A393">
        <v>43288</v>
      </c>
      <c r="B393" t="s">
        <v>7</v>
      </c>
      <c r="C393" t="s">
        <v>8</v>
      </c>
      <c r="D393">
        <v>8</v>
      </c>
      <c r="E393">
        <v>80</v>
      </c>
      <c r="F393">
        <v>0.09</v>
      </c>
      <c r="G393" t="s">
        <v>19</v>
      </c>
    </row>
    <row r="394" spans="1:7" x14ac:dyDescent="0.3">
      <c r="A394">
        <v>43288</v>
      </c>
      <c r="B394" t="s">
        <v>7</v>
      </c>
      <c r="C394" t="s">
        <v>11</v>
      </c>
      <c r="D394">
        <v>3</v>
      </c>
      <c r="E394">
        <v>80</v>
      </c>
      <c r="F394">
        <v>0.02</v>
      </c>
      <c r="G394" t="s">
        <v>22</v>
      </c>
    </row>
    <row r="395" spans="1:7" x14ac:dyDescent="0.3">
      <c r="A395">
        <v>43288</v>
      </c>
      <c r="B395" t="s">
        <v>7</v>
      </c>
      <c r="C395" t="s">
        <v>18</v>
      </c>
      <c r="D395">
        <v>8</v>
      </c>
      <c r="E395">
        <v>80</v>
      </c>
      <c r="F395">
        <v>0.06</v>
      </c>
      <c r="G395" t="s">
        <v>24</v>
      </c>
    </row>
    <row r="396" spans="1:7" x14ac:dyDescent="0.3">
      <c r="A396">
        <v>43288</v>
      </c>
      <c r="B396" t="s">
        <v>23</v>
      </c>
      <c r="C396" t="s">
        <v>21</v>
      </c>
      <c r="D396">
        <v>13</v>
      </c>
      <c r="E396">
        <v>150</v>
      </c>
      <c r="F396">
        <v>0.11</v>
      </c>
      <c r="G396" t="s">
        <v>25</v>
      </c>
    </row>
    <row r="397" spans="1:7" x14ac:dyDescent="0.3">
      <c r="A397">
        <v>43288</v>
      </c>
      <c r="B397" t="s">
        <v>7</v>
      </c>
      <c r="C397" t="s">
        <v>18</v>
      </c>
      <c r="D397">
        <v>15</v>
      </c>
      <c r="E397">
        <v>80</v>
      </c>
      <c r="F397">
        <v>0.08</v>
      </c>
      <c r="G397" t="s">
        <v>26</v>
      </c>
    </row>
    <row r="398" spans="1:7" x14ac:dyDescent="0.3">
      <c r="A398">
        <v>43288</v>
      </c>
      <c r="B398" t="s">
        <v>23</v>
      </c>
      <c r="C398" t="s">
        <v>21</v>
      </c>
      <c r="D398">
        <v>7</v>
      </c>
      <c r="E398">
        <v>150</v>
      </c>
      <c r="F398">
        <v>0.02</v>
      </c>
      <c r="G398" t="s">
        <v>27</v>
      </c>
    </row>
    <row r="399" spans="1:7" x14ac:dyDescent="0.3">
      <c r="A399">
        <v>43288</v>
      </c>
      <c r="B399" t="s">
        <v>10</v>
      </c>
      <c r="C399" t="s">
        <v>16</v>
      </c>
      <c r="D399">
        <v>6</v>
      </c>
      <c r="E399">
        <v>40</v>
      </c>
      <c r="F399">
        <v>0.06</v>
      </c>
      <c r="G399" t="s">
        <v>28</v>
      </c>
    </row>
    <row r="400" spans="1:7" x14ac:dyDescent="0.3">
      <c r="A400">
        <v>43288</v>
      </c>
      <c r="B400" t="s">
        <v>7</v>
      </c>
      <c r="C400" t="s">
        <v>18</v>
      </c>
      <c r="D400">
        <v>23</v>
      </c>
      <c r="E400">
        <v>80</v>
      </c>
      <c r="F400">
        <v>0.11</v>
      </c>
      <c r="G400" t="s">
        <v>9</v>
      </c>
    </row>
    <row r="401" spans="1:7" x14ac:dyDescent="0.3">
      <c r="A401">
        <v>43288</v>
      </c>
      <c r="B401" t="s">
        <v>13</v>
      </c>
      <c r="C401" t="s">
        <v>16</v>
      </c>
      <c r="D401">
        <v>18</v>
      </c>
      <c r="E401">
        <v>230</v>
      </c>
      <c r="F401">
        <v>0.01</v>
      </c>
      <c r="G401" t="s">
        <v>12</v>
      </c>
    </row>
    <row r="402" spans="1:7" x14ac:dyDescent="0.3">
      <c r="A402">
        <v>43289</v>
      </c>
      <c r="B402" t="s">
        <v>7</v>
      </c>
      <c r="C402" t="s">
        <v>21</v>
      </c>
      <c r="D402">
        <v>21</v>
      </c>
      <c r="E402">
        <v>80</v>
      </c>
      <c r="F402">
        <v>0.09</v>
      </c>
      <c r="G402" t="s">
        <v>14</v>
      </c>
    </row>
    <row r="403" spans="1:7" x14ac:dyDescent="0.3">
      <c r="A403">
        <v>43289</v>
      </c>
      <c r="B403" t="s">
        <v>10</v>
      </c>
      <c r="C403" t="s">
        <v>16</v>
      </c>
      <c r="D403">
        <v>13</v>
      </c>
      <c r="E403">
        <v>40</v>
      </c>
      <c r="F403">
        <v>0.02</v>
      </c>
      <c r="G403" t="s">
        <v>15</v>
      </c>
    </row>
    <row r="404" spans="1:7" x14ac:dyDescent="0.3">
      <c r="A404">
        <v>43289</v>
      </c>
      <c r="B404" t="s">
        <v>7</v>
      </c>
      <c r="C404" t="s">
        <v>16</v>
      </c>
      <c r="D404">
        <v>23</v>
      </c>
      <c r="E404">
        <v>80</v>
      </c>
      <c r="F404">
        <v>0.05</v>
      </c>
      <c r="G404" t="s">
        <v>17</v>
      </c>
    </row>
    <row r="405" spans="1:7" x14ac:dyDescent="0.3">
      <c r="A405">
        <v>43289</v>
      </c>
      <c r="B405" t="s">
        <v>23</v>
      </c>
      <c r="C405" t="s">
        <v>18</v>
      </c>
      <c r="D405">
        <v>15</v>
      </c>
      <c r="E405">
        <v>150</v>
      </c>
      <c r="F405">
        <v>0.05</v>
      </c>
      <c r="G405" t="s">
        <v>19</v>
      </c>
    </row>
    <row r="406" spans="1:7" x14ac:dyDescent="0.3">
      <c r="A406">
        <v>43289</v>
      </c>
      <c r="B406" t="s">
        <v>10</v>
      </c>
      <c r="C406" t="s">
        <v>8</v>
      </c>
      <c r="D406">
        <v>5</v>
      </c>
      <c r="E406">
        <v>40</v>
      </c>
      <c r="F406">
        <v>0.09</v>
      </c>
      <c r="G406" t="s">
        <v>22</v>
      </c>
    </row>
    <row r="407" spans="1:7" x14ac:dyDescent="0.3">
      <c r="A407">
        <v>43289</v>
      </c>
      <c r="B407" t="s">
        <v>20</v>
      </c>
      <c r="C407" t="s">
        <v>18</v>
      </c>
      <c r="D407">
        <v>10</v>
      </c>
      <c r="E407">
        <v>16</v>
      </c>
      <c r="F407">
        <v>0.01</v>
      </c>
      <c r="G407" t="s">
        <v>24</v>
      </c>
    </row>
    <row r="408" spans="1:7" x14ac:dyDescent="0.3">
      <c r="A408">
        <v>43289</v>
      </c>
      <c r="B408" t="s">
        <v>13</v>
      </c>
      <c r="C408" t="s">
        <v>16</v>
      </c>
      <c r="D408">
        <v>2</v>
      </c>
      <c r="E408">
        <v>230</v>
      </c>
      <c r="F408">
        <v>0.09</v>
      </c>
      <c r="G408" t="s">
        <v>25</v>
      </c>
    </row>
    <row r="409" spans="1:7" x14ac:dyDescent="0.3">
      <c r="A409">
        <v>43289</v>
      </c>
      <c r="B409" t="s">
        <v>7</v>
      </c>
      <c r="C409" t="s">
        <v>18</v>
      </c>
      <c r="D409">
        <v>7</v>
      </c>
      <c r="E409">
        <v>80</v>
      </c>
      <c r="F409">
        <v>0.02</v>
      </c>
      <c r="G409" t="s">
        <v>26</v>
      </c>
    </row>
    <row r="410" spans="1:7" x14ac:dyDescent="0.3">
      <c r="A410">
        <v>43289</v>
      </c>
      <c r="B410" t="s">
        <v>23</v>
      </c>
      <c r="C410" t="s">
        <v>18</v>
      </c>
      <c r="D410">
        <v>22</v>
      </c>
      <c r="E410">
        <v>150</v>
      </c>
      <c r="F410">
        <v>0.05</v>
      </c>
      <c r="G410" t="s">
        <v>27</v>
      </c>
    </row>
    <row r="411" spans="1:7" x14ac:dyDescent="0.3">
      <c r="A411">
        <v>43289</v>
      </c>
      <c r="B411" t="s">
        <v>10</v>
      </c>
      <c r="C411" t="s">
        <v>21</v>
      </c>
      <c r="D411">
        <v>17</v>
      </c>
      <c r="E411">
        <v>40</v>
      </c>
      <c r="F411">
        <v>0.02</v>
      </c>
      <c r="G411" t="s">
        <v>28</v>
      </c>
    </row>
    <row r="412" spans="1:7" x14ac:dyDescent="0.3">
      <c r="A412">
        <v>43289</v>
      </c>
      <c r="B412" t="s">
        <v>20</v>
      </c>
      <c r="C412" t="s">
        <v>8</v>
      </c>
      <c r="D412">
        <v>22</v>
      </c>
      <c r="E412">
        <v>16</v>
      </c>
      <c r="F412">
        <v>0.06</v>
      </c>
      <c r="G412" t="s">
        <v>9</v>
      </c>
    </row>
    <row r="413" spans="1:7" x14ac:dyDescent="0.3">
      <c r="A413">
        <v>43289</v>
      </c>
      <c r="B413" t="s">
        <v>20</v>
      </c>
      <c r="C413" t="s">
        <v>21</v>
      </c>
      <c r="D413">
        <v>3</v>
      </c>
      <c r="E413">
        <v>16</v>
      </c>
      <c r="F413">
        <v>0.03</v>
      </c>
      <c r="G413" t="s">
        <v>12</v>
      </c>
    </row>
    <row r="414" spans="1:7" x14ac:dyDescent="0.3">
      <c r="A414">
        <v>43289</v>
      </c>
      <c r="B414" t="s">
        <v>13</v>
      </c>
      <c r="C414" t="s">
        <v>21</v>
      </c>
      <c r="D414">
        <v>2</v>
      </c>
      <c r="E414">
        <v>230</v>
      </c>
      <c r="F414">
        <v>0.08</v>
      </c>
      <c r="G414" t="s">
        <v>14</v>
      </c>
    </row>
    <row r="415" spans="1:7" x14ac:dyDescent="0.3">
      <c r="A415">
        <v>43289</v>
      </c>
      <c r="B415" t="s">
        <v>20</v>
      </c>
      <c r="C415" t="s">
        <v>8</v>
      </c>
      <c r="D415">
        <v>21</v>
      </c>
      <c r="E415">
        <v>16</v>
      </c>
      <c r="F415">
        <v>0.09</v>
      </c>
      <c r="G415" t="s">
        <v>15</v>
      </c>
    </row>
    <row r="416" spans="1:7" x14ac:dyDescent="0.3">
      <c r="A416">
        <v>43289</v>
      </c>
      <c r="B416" t="s">
        <v>7</v>
      </c>
      <c r="C416" t="s">
        <v>18</v>
      </c>
      <c r="D416">
        <v>7</v>
      </c>
      <c r="E416">
        <v>80</v>
      </c>
      <c r="F416">
        <v>7.0000000000000007E-2</v>
      </c>
      <c r="G416" t="s">
        <v>17</v>
      </c>
    </row>
    <row r="417" spans="1:7" x14ac:dyDescent="0.3">
      <c r="A417">
        <v>43289</v>
      </c>
      <c r="B417" t="s">
        <v>23</v>
      </c>
      <c r="C417" t="s">
        <v>11</v>
      </c>
      <c r="D417">
        <v>23</v>
      </c>
      <c r="E417">
        <v>150</v>
      </c>
      <c r="F417">
        <v>0.11</v>
      </c>
      <c r="G417" t="s">
        <v>19</v>
      </c>
    </row>
    <row r="418" spans="1:7" x14ac:dyDescent="0.3">
      <c r="A418">
        <v>43290</v>
      </c>
      <c r="B418" t="s">
        <v>23</v>
      </c>
      <c r="C418" t="s">
        <v>8</v>
      </c>
      <c r="D418">
        <v>11</v>
      </c>
      <c r="E418">
        <v>150</v>
      </c>
      <c r="F418">
        <v>0.05</v>
      </c>
      <c r="G418" t="s">
        <v>22</v>
      </c>
    </row>
    <row r="419" spans="1:7" x14ac:dyDescent="0.3">
      <c r="A419">
        <v>43290</v>
      </c>
      <c r="B419" t="s">
        <v>7</v>
      </c>
      <c r="C419" t="s">
        <v>21</v>
      </c>
      <c r="D419">
        <v>16</v>
      </c>
      <c r="E419">
        <v>80</v>
      </c>
      <c r="F419">
        <v>0.05</v>
      </c>
      <c r="G419" t="s">
        <v>24</v>
      </c>
    </row>
    <row r="420" spans="1:7" x14ac:dyDescent="0.3">
      <c r="A420">
        <v>43290</v>
      </c>
      <c r="B420" t="s">
        <v>13</v>
      </c>
      <c r="C420" t="s">
        <v>16</v>
      </c>
      <c r="D420">
        <v>5</v>
      </c>
      <c r="E420">
        <v>230</v>
      </c>
      <c r="F420">
        <v>0.1</v>
      </c>
      <c r="G420" t="s">
        <v>25</v>
      </c>
    </row>
    <row r="421" spans="1:7" x14ac:dyDescent="0.3">
      <c r="A421">
        <v>43290</v>
      </c>
      <c r="B421" t="s">
        <v>20</v>
      </c>
      <c r="C421" t="s">
        <v>8</v>
      </c>
      <c r="D421">
        <v>22</v>
      </c>
      <c r="E421">
        <v>16</v>
      </c>
      <c r="F421">
        <v>0.01</v>
      </c>
      <c r="G421" t="s">
        <v>26</v>
      </c>
    </row>
    <row r="422" spans="1:7" x14ac:dyDescent="0.3">
      <c r="A422">
        <v>43290</v>
      </c>
      <c r="B422" t="s">
        <v>10</v>
      </c>
      <c r="C422" t="s">
        <v>21</v>
      </c>
      <c r="D422">
        <v>7</v>
      </c>
      <c r="E422">
        <v>40</v>
      </c>
      <c r="F422">
        <v>0.12</v>
      </c>
      <c r="G422" t="s">
        <v>9</v>
      </c>
    </row>
    <row r="423" spans="1:7" x14ac:dyDescent="0.3">
      <c r="A423">
        <v>43290</v>
      </c>
      <c r="B423" t="s">
        <v>7</v>
      </c>
      <c r="C423" t="s">
        <v>11</v>
      </c>
      <c r="D423">
        <v>2</v>
      </c>
      <c r="E423">
        <v>80</v>
      </c>
      <c r="F423">
        <v>0.04</v>
      </c>
      <c r="G423" t="s">
        <v>12</v>
      </c>
    </row>
    <row r="424" spans="1:7" x14ac:dyDescent="0.3">
      <c r="A424">
        <v>43290</v>
      </c>
      <c r="B424" t="s">
        <v>10</v>
      </c>
      <c r="C424" t="s">
        <v>18</v>
      </c>
      <c r="D424">
        <v>6</v>
      </c>
      <c r="E424">
        <v>40</v>
      </c>
      <c r="F424">
        <v>7.0000000000000007E-2</v>
      </c>
      <c r="G424" t="s">
        <v>14</v>
      </c>
    </row>
    <row r="425" spans="1:7" x14ac:dyDescent="0.3">
      <c r="A425">
        <v>43290</v>
      </c>
      <c r="B425" t="s">
        <v>7</v>
      </c>
      <c r="C425" t="s">
        <v>16</v>
      </c>
      <c r="D425">
        <v>6</v>
      </c>
      <c r="E425">
        <v>80</v>
      </c>
      <c r="F425">
        <v>0.01</v>
      </c>
      <c r="G425" t="s">
        <v>15</v>
      </c>
    </row>
    <row r="426" spans="1:7" x14ac:dyDescent="0.3">
      <c r="A426">
        <v>43290</v>
      </c>
      <c r="B426" t="s">
        <v>20</v>
      </c>
      <c r="C426" t="s">
        <v>11</v>
      </c>
      <c r="D426">
        <v>22</v>
      </c>
      <c r="E426">
        <v>16</v>
      </c>
      <c r="F426">
        <v>0.01</v>
      </c>
      <c r="G426" t="s">
        <v>17</v>
      </c>
    </row>
    <row r="427" spans="1:7" x14ac:dyDescent="0.3">
      <c r="A427">
        <v>43290</v>
      </c>
      <c r="B427" t="s">
        <v>13</v>
      </c>
      <c r="C427" t="s">
        <v>18</v>
      </c>
      <c r="D427">
        <v>7</v>
      </c>
      <c r="E427">
        <v>230</v>
      </c>
      <c r="F427">
        <v>0.06</v>
      </c>
      <c r="G427" t="s">
        <v>19</v>
      </c>
    </row>
    <row r="428" spans="1:7" x14ac:dyDescent="0.3">
      <c r="A428">
        <v>43291</v>
      </c>
      <c r="B428" t="s">
        <v>20</v>
      </c>
      <c r="C428" t="s">
        <v>18</v>
      </c>
      <c r="D428">
        <v>22</v>
      </c>
      <c r="E428">
        <v>16</v>
      </c>
      <c r="F428">
        <v>0.03</v>
      </c>
      <c r="G428" t="s">
        <v>22</v>
      </c>
    </row>
    <row r="429" spans="1:7" x14ac:dyDescent="0.3">
      <c r="A429">
        <v>43291</v>
      </c>
      <c r="B429" t="s">
        <v>10</v>
      </c>
      <c r="C429" t="s">
        <v>21</v>
      </c>
      <c r="D429">
        <v>20</v>
      </c>
      <c r="E429">
        <v>40</v>
      </c>
      <c r="F429">
        <v>0.05</v>
      </c>
      <c r="G429" t="s">
        <v>24</v>
      </c>
    </row>
    <row r="430" spans="1:7" x14ac:dyDescent="0.3">
      <c r="A430">
        <v>43291</v>
      </c>
      <c r="B430" t="s">
        <v>10</v>
      </c>
      <c r="C430" t="s">
        <v>11</v>
      </c>
      <c r="D430">
        <v>19</v>
      </c>
      <c r="E430">
        <v>40</v>
      </c>
      <c r="F430">
        <v>0.1</v>
      </c>
      <c r="G430" t="s">
        <v>25</v>
      </c>
    </row>
    <row r="431" spans="1:7" x14ac:dyDescent="0.3">
      <c r="A431">
        <v>43291</v>
      </c>
      <c r="B431" t="s">
        <v>20</v>
      </c>
      <c r="C431" t="s">
        <v>8</v>
      </c>
      <c r="D431">
        <v>18</v>
      </c>
      <c r="E431">
        <v>16</v>
      </c>
      <c r="F431">
        <v>0.05</v>
      </c>
      <c r="G431" t="s">
        <v>26</v>
      </c>
    </row>
    <row r="432" spans="1:7" x14ac:dyDescent="0.3">
      <c r="A432">
        <v>43291</v>
      </c>
      <c r="B432" t="s">
        <v>10</v>
      </c>
      <c r="C432" t="s">
        <v>16</v>
      </c>
      <c r="D432">
        <v>2</v>
      </c>
      <c r="E432">
        <v>40</v>
      </c>
      <c r="F432">
        <v>0.02</v>
      </c>
      <c r="G432" t="s">
        <v>27</v>
      </c>
    </row>
    <row r="433" spans="1:7" x14ac:dyDescent="0.3">
      <c r="A433">
        <v>43291</v>
      </c>
      <c r="B433" t="s">
        <v>10</v>
      </c>
      <c r="C433" t="s">
        <v>18</v>
      </c>
      <c r="D433">
        <v>7</v>
      </c>
      <c r="E433">
        <v>40</v>
      </c>
      <c r="F433">
        <v>7.0000000000000007E-2</v>
      </c>
      <c r="G433" t="s">
        <v>28</v>
      </c>
    </row>
    <row r="434" spans="1:7" x14ac:dyDescent="0.3">
      <c r="A434">
        <v>43291</v>
      </c>
      <c r="B434" t="s">
        <v>23</v>
      </c>
      <c r="C434" t="s">
        <v>16</v>
      </c>
      <c r="D434">
        <v>11</v>
      </c>
      <c r="E434">
        <v>150</v>
      </c>
      <c r="F434">
        <v>0.05</v>
      </c>
      <c r="G434" t="s">
        <v>9</v>
      </c>
    </row>
    <row r="435" spans="1:7" x14ac:dyDescent="0.3">
      <c r="A435">
        <v>43291</v>
      </c>
      <c r="B435" t="s">
        <v>7</v>
      </c>
      <c r="C435" t="s">
        <v>11</v>
      </c>
      <c r="D435">
        <v>14</v>
      </c>
      <c r="E435">
        <v>80</v>
      </c>
      <c r="F435">
        <v>0.11</v>
      </c>
      <c r="G435" t="s">
        <v>12</v>
      </c>
    </row>
    <row r="436" spans="1:7" x14ac:dyDescent="0.3">
      <c r="A436">
        <v>43291</v>
      </c>
      <c r="B436" t="s">
        <v>10</v>
      </c>
      <c r="C436" t="s">
        <v>21</v>
      </c>
      <c r="D436">
        <v>7</v>
      </c>
      <c r="E436">
        <v>40</v>
      </c>
      <c r="F436">
        <v>0.04</v>
      </c>
      <c r="G436" t="s">
        <v>14</v>
      </c>
    </row>
    <row r="437" spans="1:7" x14ac:dyDescent="0.3">
      <c r="A437">
        <v>43291</v>
      </c>
      <c r="B437" t="s">
        <v>7</v>
      </c>
      <c r="C437" t="s">
        <v>18</v>
      </c>
      <c r="D437">
        <v>14</v>
      </c>
      <c r="E437">
        <v>80</v>
      </c>
      <c r="F437">
        <v>0.05</v>
      </c>
      <c r="G437" t="s">
        <v>15</v>
      </c>
    </row>
    <row r="438" spans="1:7" x14ac:dyDescent="0.3">
      <c r="A438">
        <v>43292</v>
      </c>
      <c r="B438" t="s">
        <v>20</v>
      </c>
      <c r="C438" t="s">
        <v>16</v>
      </c>
      <c r="D438">
        <v>12</v>
      </c>
      <c r="E438">
        <v>16</v>
      </c>
      <c r="F438">
        <v>0.11</v>
      </c>
      <c r="G438" t="s">
        <v>17</v>
      </c>
    </row>
    <row r="439" spans="1:7" x14ac:dyDescent="0.3">
      <c r="A439">
        <v>43292</v>
      </c>
      <c r="B439" t="s">
        <v>10</v>
      </c>
      <c r="C439" t="s">
        <v>21</v>
      </c>
      <c r="D439">
        <v>11</v>
      </c>
      <c r="E439">
        <v>40</v>
      </c>
      <c r="F439">
        <v>0.05</v>
      </c>
      <c r="G439" t="s">
        <v>19</v>
      </c>
    </row>
    <row r="440" spans="1:7" x14ac:dyDescent="0.3">
      <c r="A440">
        <v>43292</v>
      </c>
      <c r="B440" t="s">
        <v>20</v>
      </c>
      <c r="C440" t="s">
        <v>16</v>
      </c>
      <c r="D440">
        <v>14</v>
      </c>
      <c r="E440">
        <v>16</v>
      </c>
      <c r="F440">
        <v>0.01</v>
      </c>
      <c r="G440" t="s">
        <v>22</v>
      </c>
    </row>
    <row r="441" spans="1:7" x14ac:dyDescent="0.3">
      <c r="A441">
        <v>43292</v>
      </c>
      <c r="B441" t="s">
        <v>13</v>
      </c>
      <c r="C441" t="s">
        <v>18</v>
      </c>
      <c r="D441">
        <v>2</v>
      </c>
      <c r="E441">
        <v>230</v>
      </c>
      <c r="F441">
        <v>0.08</v>
      </c>
      <c r="G441" t="s">
        <v>24</v>
      </c>
    </row>
    <row r="442" spans="1:7" x14ac:dyDescent="0.3">
      <c r="A442">
        <v>43292</v>
      </c>
      <c r="B442" t="s">
        <v>20</v>
      </c>
      <c r="C442" t="s">
        <v>8</v>
      </c>
      <c r="D442">
        <v>20</v>
      </c>
      <c r="E442">
        <v>16</v>
      </c>
      <c r="F442">
        <v>0.11</v>
      </c>
      <c r="G442" t="s">
        <v>25</v>
      </c>
    </row>
    <row r="443" spans="1:7" x14ac:dyDescent="0.3">
      <c r="A443">
        <v>43292</v>
      </c>
      <c r="B443" t="s">
        <v>20</v>
      </c>
      <c r="C443" t="s">
        <v>16</v>
      </c>
      <c r="D443">
        <v>6</v>
      </c>
      <c r="E443">
        <v>16</v>
      </c>
      <c r="F443">
        <v>0.06</v>
      </c>
      <c r="G443" t="s">
        <v>26</v>
      </c>
    </row>
    <row r="444" spans="1:7" x14ac:dyDescent="0.3">
      <c r="A444">
        <v>43292</v>
      </c>
      <c r="B444" t="s">
        <v>7</v>
      </c>
      <c r="C444" t="s">
        <v>18</v>
      </c>
      <c r="D444">
        <v>17</v>
      </c>
      <c r="E444">
        <v>80</v>
      </c>
      <c r="F444">
        <v>0.05</v>
      </c>
      <c r="G444" t="s">
        <v>27</v>
      </c>
    </row>
    <row r="445" spans="1:7" x14ac:dyDescent="0.3">
      <c r="A445">
        <v>43292</v>
      </c>
      <c r="B445" t="s">
        <v>10</v>
      </c>
      <c r="C445" t="s">
        <v>8</v>
      </c>
      <c r="D445">
        <v>2</v>
      </c>
      <c r="E445">
        <v>40</v>
      </c>
      <c r="F445">
        <v>0.12</v>
      </c>
      <c r="G445" t="s">
        <v>28</v>
      </c>
    </row>
    <row r="446" spans="1:7" x14ac:dyDescent="0.3">
      <c r="A446">
        <v>43292</v>
      </c>
      <c r="B446" t="s">
        <v>20</v>
      </c>
      <c r="C446" t="s">
        <v>8</v>
      </c>
      <c r="D446">
        <v>7</v>
      </c>
      <c r="E446">
        <v>16</v>
      </c>
      <c r="F446">
        <v>0.12</v>
      </c>
      <c r="G446" t="s">
        <v>9</v>
      </c>
    </row>
    <row r="447" spans="1:7" x14ac:dyDescent="0.3">
      <c r="A447">
        <v>43292</v>
      </c>
      <c r="B447" t="s">
        <v>23</v>
      </c>
      <c r="C447" t="s">
        <v>8</v>
      </c>
      <c r="D447">
        <v>7</v>
      </c>
      <c r="E447">
        <v>150</v>
      </c>
      <c r="F447">
        <v>0.02</v>
      </c>
      <c r="G447" t="s">
        <v>12</v>
      </c>
    </row>
    <row r="448" spans="1:7" x14ac:dyDescent="0.3">
      <c r="A448">
        <v>43292</v>
      </c>
      <c r="B448" t="s">
        <v>7</v>
      </c>
      <c r="C448" t="s">
        <v>8</v>
      </c>
      <c r="D448">
        <v>20</v>
      </c>
      <c r="E448">
        <v>80</v>
      </c>
      <c r="F448">
        <v>0.01</v>
      </c>
      <c r="G448" t="s">
        <v>14</v>
      </c>
    </row>
    <row r="449" spans="1:7" x14ac:dyDescent="0.3">
      <c r="A449">
        <v>43292</v>
      </c>
      <c r="B449" t="s">
        <v>7</v>
      </c>
      <c r="C449" t="s">
        <v>18</v>
      </c>
      <c r="D449">
        <v>11</v>
      </c>
      <c r="E449">
        <v>80</v>
      </c>
      <c r="F449">
        <v>0.01</v>
      </c>
      <c r="G449" t="s">
        <v>15</v>
      </c>
    </row>
    <row r="450" spans="1:7" x14ac:dyDescent="0.3">
      <c r="A450">
        <v>43292</v>
      </c>
      <c r="B450" t="s">
        <v>7</v>
      </c>
      <c r="C450" t="s">
        <v>16</v>
      </c>
      <c r="D450">
        <v>10</v>
      </c>
      <c r="E450">
        <v>80</v>
      </c>
      <c r="F450">
        <v>0.08</v>
      </c>
      <c r="G450" t="s">
        <v>17</v>
      </c>
    </row>
    <row r="451" spans="1:7" x14ac:dyDescent="0.3">
      <c r="A451">
        <v>43293</v>
      </c>
      <c r="B451" t="s">
        <v>7</v>
      </c>
      <c r="C451" t="s">
        <v>11</v>
      </c>
      <c r="D451">
        <v>5</v>
      </c>
      <c r="E451">
        <v>80</v>
      </c>
      <c r="F451">
        <v>0.04</v>
      </c>
      <c r="G451" t="s">
        <v>19</v>
      </c>
    </row>
    <row r="452" spans="1:7" x14ac:dyDescent="0.3">
      <c r="A452">
        <v>43293</v>
      </c>
      <c r="B452" t="s">
        <v>7</v>
      </c>
      <c r="C452" t="s">
        <v>18</v>
      </c>
      <c r="D452">
        <v>4</v>
      </c>
      <c r="E452">
        <v>80</v>
      </c>
      <c r="F452">
        <v>0.11</v>
      </c>
      <c r="G452" t="s">
        <v>22</v>
      </c>
    </row>
    <row r="453" spans="1:7" x14ac:dyDescent="0.3">
      <c r="A453">
        <v>43293</v>
      </c>
      <c r="B453" t="s">
        <v>20</v>
      </c>
      <c r="C453" t="s">
        <v>16</v>
      </c>
      <c r="D453">
        <v>3</v>
      </c>
      <c r="E453">
        <v>16</v>
      </c>
      <c r="F453">
        <v>0.05</v>
      </c>
      <c r="G453" t="s">
        <v>24</v>
      </c>
    </row>
    <row r="454" spans="1:7" x14ac:dyDescent="0.3">
      <c r="A454">
        <v>43293</v>
      </c>
      <c r="B454" t="s">
        <v>7</v>
      </c>
      <c r="C454" t="s">
        <v>8</v>
      </c>
      <c r="D454">
        <v>9</v>
      </c>
      <c r="E454">
        <v>80</v>
      </c>
      <c r="F454">
        <v>0.04</v>
      </c>
      <c r="G454" t="s">
        <v>25</v>
      </c>
    </row>
    <row r="455" spans="1:7" x14ac:dyDescent="0.3">
      <c r="A455">
        <v>43293</v>
      </c>
      <c r="B455" t="s">
        <v>7</v>
      </c>
      <c r="C455" t="s">
        <v>21</v>
      </c>
      <c r="D455">
        <v>16</v>
      </c>
      <c r="E455">
        <v>80</v>
      </c>
      <c r="F455">
        <v>0.09</v>
      </c>
      <c r="G455" t="s">
        <v>26</v>
      </c>
    </row>
    <row r="456" spans="1:7" x14ac:dyDescent="0.3">
      <c r="A456">
        <v>43294</v>
      </c>
      <c r="B456" t="s">
        <v>20</v>
      </c>
      <c r="C456" t="s">
        <v>11</v>
      </c>
      <c r="D456">
        <v>7</v>
      </c>
      <c r="E456">
        <v>16</v>
      </c>
      <c r="F456">
        <v>0.08</v>
      </c>
      <c r="G456" t="s">
        <v>27</v>
      </c>
    </row>
    <row r="457" spans="1:7" x14ac:dyDescent="0.3">
      <c r="A457">
        <v>43294</v>
      </c>
      <c r="B457" t="s">
        <v>23</v>
      </c>
      <c r="C457" t="s">
        <v>11</v>
      </c>
      <c r="D457">
        <v>16</v>
      </c>
      <c r="E457">
        <v>150</v>
      </c>
      <c r="F457">
        <v>0.05</v>
      </c>
      <c r="G457" t="s">
        <v>28</v>
      </c>
    </row>
    <row r="458" spans="1:7" x14ac:dyDescent="0.3">
      <c r="A458">
        <v>43294</v>
      </c>
      <c r="B458" t="s">
        <v>20</v>
      </c>
      <c r="C458" t="s">
        <v>18</v>
      </c>
      <c r="D458">
        <v>10</v>
      </c>
      <c r="E458">
        <v>16</v>
      </c>
      <c r="F458">
        <v>0.04</v>
      </c>
      <c r="G458" t="s">
        <v>9</v>
      </c>
    </row>
    <row r="459" spans="1:7" x14ac:dyDescent="0.3">
      <c r="A459">
        <v>43294</v>
      </c>
      <c r="B459" t="s">
        <v>10</v>
      </c>
      <c r="C459" t="s">
        <v>11</v>
      </c>
      <c r="D459">
        <v>4</v>
      </c>
      <c r="E459">
        <v>40</v>
      </c>
      <c r="F459">
        <v>0.03</v>
      </c>
      <c r="G459" t="s">
        <v>12</v>
      </c>
    </row>
    <row r="460" spans="1:7" x14ac:dyDescent="0.3">
      <c r="A460">
        <v>43294</v>
      </c>
      <c r="B460" t="s">
        <v>10</v>
      </c>
      <c r="C460" t="s">
        <v>11</v>
      </c>
      <c r="D460">
        <v>15</v>
      </c>
      <c r="E460">
        <v>40</v>
      </c>
      <c r="F460">
        <v>0.02</v>
      </c>
      <c r="G460" t="s">
        <v>14</v>
      </c>
    </row>
    <row r="461" spans="1:7" x14ac:dyDescent="0.3">
      <c r="A461">
        <v>43294</v>
      </c>
      <c r="B461" t="s">
        <v>7</v>
      </c>
      <c r="C461" t="s">
        <v>16</v>
      </c>
      <c r="D461">
        <v>6</v>
      </c>
      <c r="E461">
        <v>80</v>
      </c>
      <c r="F461">
        <v>0.09</v>
      </c>
      <c r="G461" t="s">
        <v>15</v>
      </c>
    </row>
    <row r="462" spans="1:7" x14ac:dyDescent="0.3">
      <c r="A462">
        <v>43294</v>
      </c>
      <c r="B462" t="s">
        <v>23</v>
      </c>
      <c r="C462" t="s">
        <v>8</v>
      </c>
      <c r="D462">
        <v>20</v>
      </c>
      <c r="E462">
        <v>150</v>
      </c>
      <c r="F462">
        <v>0.01</v>
      </c>
      <c r="G462" t="s">
        <v>17</v>
      </c>
    </row>
    <row r="463" spans="1:7" x14ac:dyDescent="0.3">
      <c r="A463">
        <v>43294</v>
      </c>
      <c r="B463" t="s">
        <v>20</v>
      </c>
      <c r="C463" t="s">
        <v>8</v>
      </c>
      <c r="D463">
        <v>7</v>
      </c>
      <c r="E463">
        <v>16</v>
      </c>
      <c r="F463">
        <v>0.08</v>
      </c>
      <c r="G463" t="s">
        <v>19</v>
      </c>
    </row>
    <row r="464" spans="1:7" x14ac:dyDescent="0.3">
      <c r="A464">
        <v>43294</v>
      </c>
      <c r="B464" t="s">
        <v>7</v>
      </c>
      <c r="C464" t="s">
        <v>11</v>
      </c>
      <c r="D464">
        <v>2</v>
      </c>
      <c r="E464">
        <v>80</v>
      </c>
      <c r="F464">
        <v>7.0000000000000007E-2</v>
      </c>
      <c r="G464" t="s">
        <v>22</v>
      </c>
    </row>
    <row r="465" spans="1:7" x14ac:dyDescent="0.3">
      <c r="A465">
        <v>43294</v>
      </c>
      <c r="B465" t="s">
        <v>10</v>
      </c>
      <c r="C465" t="s">
        <v>11</v>
      </c>
      <c r="D465">
        <v>23</v>
      </c>
      <c r="E465">
        <v>40</v>
      </c>
      <c r="F465">
        <v>0.06</v>
      </c>
      <c r="G465" t="s">
        <v>24</v>
      </c>
    </row>
    <row r="466" spans="1:7" x14ac:dyDescent="0.3">
      <c r="A466">
        <v>43294</v>
      </c>
      <c r="B466" t="s">
        <v>20</v>
      </c>
      <c r="C466" t="s">
        <v>8</v>
      </c>
      <c r="D466">
        <v>12</v>
      </c>
      <c r="E466">
        <v>16</v>
      </c>
      <c r="F466">
        <v>0.11</v>
      </c>
      <c r="G466" t="s">
        <v>25</v>
      </c>
    </row>
    <row r="467" spans="1:7" x14ac:dyDescent="0.3">
      <c r="A467">
        <v>43294</v>
      </c>
      <c r="B467" t="s">
        <v>13</v>
      </c>
      <c r="C467" t="s">
        <v>18</v>
      </c>
      <c r="D467">
        <v>2</v>
      </c>
      <c r="E467">
        <v>230</v>
      </c>
      <c r="F467">
        <v>0.09</v>
      </c>
      <c r="G467" t="s">
        <v>26</v>
      </c>
    </row>
    <row r="468" spans="1:7" x14ac:dyDescent="0.3">
      <c r="A468">
        <v>43294</v>
      </c>
      <c r="B468" t="s">
        <v>23</v>
      </c>
      <c r="C468" t="s">
        <v>8</v>
      </c>
      <c r="D468">
        <v>4</v>
      </c>
      <c r="E468">
        <v>150</v>
      </c>
      <c r="F468">
        <v>0.06</v>
      </c>
      <c r="G468" t="s">
        <v>27</v>
      </c>
    </row>
    <row r="469" spans="1:7" x14ac:dyDescent="0.3">
      <c r="A469">
        <v>43294</v>
      </c>
      <c r="B469" t="s">
        <v>10</v>
      </c>
      <c r="C469" t="s">
        <v>8</v>
      </c>
      <c r="D469">
        <v>23</v>
      </c>
      <c r="E469">
        <v>40</v>
      </c>
      <c r="F469">
        <v>7.0000000000000007E-2</v>
      </c>
      <c r="G469" t="s">
        <v>28</v>
      </c>
    </row>
    <row r="470" spans="1:7" x14ac:dyDescent="0.3">
      <c r="A470">
        <v>43294</v>
      </c>
      <c r="B470" t="s">
        <v>20</v>
      </c>
      <c r="C470" t="s">
        <v>21</v>
      </c>
      <c r="D470">
        <v>2</v>
      </c>
      <c r="E470">
        <v>16</v>
      </c>
      <c r="F470">
        <v>0.04</v>
      </c>
      <c r="G470" t="s">
        <v>9</v>
      </c>
    </row>
    <row r="471" spans="1:7" x14ac:dyDescent="0.3">
      <c r="A471">
        <v>43294</v>
      </c>
      <c r="B471" t="s">
        <v>23</v>
      </c>
      <c r="C471" t="s">
        <v>18</v>
      </c>
      <c r="D471">
        <v>7</v>
      </c>
      <c r="E471">
        <v>150</v>
      </c>
      <c r="F471">
        <v>0.05</v>
      </c>
      <c r="G471" t="s">
        <v>12</v>
      </c>
    </row>
    <row r="472" spans="1:7" x14ac:dyDescent="0.3">
      <c r="A472">
        <v>43295</v>
      </c>
      <c r="B472" t="s">
        <v>10</v>
      </c>
      <c r="C472" t="s">
        <v>8</v>
      </c>
      <c r="D472">
        <v>15</v>
      </c>
      <c r="E472">
        <v>40</v>
      </c>
      <c r="F472">
        <v>0.06</v>
      </c>
      <c r="G472" t="s">
        <v>14</v>
      </c>
    </row>
    <row r="473" spans="1:7" x14ac:dyDescent="0.3">
      <c r="A473">
        <v>43295</v>
      </c>
      <c r="B473" t="s">
        <v>7</v>
      </c>
      <c r="C473" t="s">
        <v>18</v>
      </c>
      <c r="D473">
        <v>16</v>
      </c>
      <c r="E473">
        <v>80</v>
      </c>
      <c r="F473">
        <v>0.05</v>
      </c>
      <c r="G473" t="s">
        <v>15</v>
      </c>
    </row>
    <row r="474" spans="1:7" x14ac:dyDescent="0.3">
      <c r="A474">
        <v>43295</v>
      </c>
      <c r="B474" t="s">
        <v>10</v>
      </c>
      <c r="C474" t="s">
        <v>21</v>
      </c>
      <c r="D474">
        <v>16</v>
      </c>
      <c r="E474">
        <v>40</v>
      </c>
      <c r="F474">
        <v>0.11</v>
      </c>
      <c r="G474" t="s">
        <v>17</v>
      </c>
    </row>
    <row r="475" spans="1:7" x14ac:dyDescent="0.3">
      <c r="A475">
        <v>43295</v>
      </c>
      <c r="B475" t="s">
        <v>20</v>
      </c>
      <c r="C475" t="s">
        <v>21</v>
      </c>
      <c r="D475">
        <v>23</v>
      </c>
      <c r="E475">
        <v>16</v>
      </c>
      <c r="F475">
        <v>0.01</v>
      </c>
      <c r="G475" t="s">
        <v>19</v>
      </c>
    </row>
    <row r="476" spans="1:7" x14ac:dyDescent="0.3">
      <c r="A476">
        <v>43295</v>
      </c>
      <c r="B476" t="s">
        <v>13</v>
      </c>
      <c r="C476" t="s">
        <v>11</v>
      </c>
      <c r="D476">
        <v>12</v>
      </c>
      <c r="E476">
        <v>230</v>
      </c>
      <c r="F476">
        <v>0.03</v>
      </c>
      <c r="G476" t="s">
        <v>22</v>
      </c>
    </row>
    <row r="477" spans="1:7" x14ac:dyDescent="0.3">
      <c r="A477">
        <v>43295</v>
      </c>
      <c r="B477" t="s">
        <v>20</v>
      </c>
      <c r="C477" t="s">
        <v>8</v>
      </c>
      <c r="D477">
        <v>4</v>
      </c>
      <c r="E477">
        <v>16</v>
      </c>
      <c r="F477">
        <v>0.12</v>
      </c>
      <c r="G477" t="s">
        <v>24</v>
      </c>
    </row>
    <row r="478" spans="1:7" x14ac:dyDescent="0.3">
      <c r="A478">
        <v>43295</v>
      </c>
      <c r="B478" t="s">
        <v>23</v>
      </c>
      <c r="C478" t="s">
        <v>18</v>
      </c>
      <c r="D478">
        <v>3</v>
      </c>
      <c r="E478">
        <v>150</v>
      </c>
      <c r="F478">
        <v>0.01</v>
      </c>
      <c r="G478" t="s">
        <v>25</v>
      </c>
    </row>
    <row r="479" spans="1:7" x14ac:dyDescent="0.3">
      <c r="A479">
        <v>43295</v>
      </c>
      <c r="B479" t="s">
        <v>23</v>
      </c>
      <c r="C479" t="s">
        <v>11</v>
      </c>
      <c r="D479">
        <v>10</v>
      </c>
      <c r="E479">
        <v>150</v>
      </c>
      <c r="F479">
        <v>0.01</v>
      </c>
      <c r="G479" t="s">
        <v>26</v>
      </c>
    </row>
    <row r="480" spans="1:7" x14ac:dyDescent="0.3">
      <c r="A480">
        <v>43295</v>
      </c>
      <c r="B480" t="s">
        <v>7</v>
      </c>
      <c r="C480" t="s">
        <v>11</v>
      </c>
      <c r="D480">
        <v>13</v>
      </c>
      <c r="E480">
        <v>80</v>
      </c>
      <c r="F480">
        <v>0.06</v>
      </c>
      <c r="G480" t="s">
        <v>27</v>
      </c>
    </row>
    <row r="481" spans="1:7" x14ac:dyDescent="0.3">
      <c r="A481">
        <v>43295</v>
      </c>
      <c r="B481" t="s">
        <v>13</v>
      </c>
      <c r="C481" t="s">
        <v>16</v>
      </c>
      <c r="D481">
        <v>15</v>
      </c>
      <c r="E481">
        <v>230</v>
      </c>
      <c r="F481">
        <v>0.04</v>
      </c>
      <c r="G481" t="s">
        <v>28</v>
      </c>
    </row>
    <row r="482" spans="1:7" x14ac:dyDescent="0.3">
      <c r="A482">
        <v>43295</v>
      </c>
      <c r="B482" t="s">
        <v>23</v>
      </c>
      <c r="C482" t="s">
        <v>8</v>
      </c>
      <c r="D482">
        <v>23</v>
      </c>
      <c r="E482">
        <v>150</v>
      </c>
      <c r="F482">
        <v>0.1</v>
      </c>
      <c r="G482" t="s">
        <v>9</v>
      </c>
    </row>
    <row r="483" spans="1:7" x14ac:dyDescent="0.3">
      <c r="A483">
        <v>43295</v>
      </c>
      <c r="B483" t="s">
        <v>23</v>
      </c>
      <c r="C483" t="s">
        <v>11</v>
      </c>
      <c r="D483">
        <v>15</v>
      </c>
      <c r="E483">
        <v>150</v>
      </c>
      <c r="F483">
        <v>0.12</v>
      </c>
      <c r="G483" t="s">
        <v>12</v>
      </c>
    </row>
    <row r="484" spans="1:7" x14ac:dyDescent="0.3">
      <c r="A484">
        <v>43295</v>
      </c>
      <c r="B484" t="s">
        <v>23</v>
      </c>
      <c r="C484" t="s">
        <v>16</v>
      </c>
      <c r="D484">
        <v>20</v>
      </c>
      <c r="E484">
        <v>150</v>
      </c>
      <c r="F484">
        <v>0.12</v>
      </c>
      <c r="G484" t="s">
        <v>14</v>
      </c>
    </row>
    <row r="485" spans="1:7" x14ac:dyDescent="0.3">
      <c r="A485">
        <v>43295</v>
      </c>
      <c r="B485" t="s">
        <v>10</v>
      </c>
      <c r="C485" t="s">
        <v>18</v>
      </c>
      <c r="D485">
        <v>13</v>
      </c>
      <c r="E485">
        <v>40</v>
      </c>
      <c r="F485">
        <v>0.09</v>
      </c>
      <c r="G485" t="s">
        <v>15</v>
      </c>
    </row>
    <row r="486" spans="1:7" x14ac:dyDescent="0.3">
      <c r="A486">
        <v>43296</v>
      </c>
      <c r="B486" t="s">
        <v>20</v>
      </c>
      <c r="C486" t="s">
        <v>16</v>
      </c>
      <c r="D486">
        <v>11</v>
      </c>
      <c r="E486">
        <v>16</v>
      </c>
      <c r="F486">
        <v>0.04</v>
      </c>
      <c r="G486" t="s">
        <v>17</v>
      </c>
    </row>
    <row r="487" spans="1:7" x14ac:dyDescent="0.3">
      <c r="A487">
        <v>43296</v>
      </c>
      <c r="B487" t="s">
        <v>23</v>
      </c>
      <c r="C487" t="s">
        <v>16</v>
      </c>
      <c r="D487">
        <v>20</v>
      </c>
      <c r="E487">
        <v>150</v>
      </c>
      <c r="F487">
        <v>0.04</v>
      </c>
      <c r="G487" t="s">
        <v>19</v>
      </c>
    </row>
    <row r="488" spans="1:7" x14ac:dyDescent="0.3">
      <c r="A488">
        <v>43296</v>
      </c>
      <c r="B488" t="s">
        <v>10</v>
      </c>
      <c r="C488" t="s">
        <v>8</v>
      </c>
      <c r="D488">
        <v>18</v>
      </c>
      <c r="E488">
        <v>40</v>
      </c>
      <c r="F488">
        <v>0.11</v>
      </c>
      <c r="G488" t="s">
        <v>22</v>
      </c>
    </row>
    <row r="489" spans="1:7" x14ac:dyDescent="0.3">
      <c r="A489">
        <v>43296</v>
      </c>
      <c r="B489" t="s">
        <v>10</v>
      </c>
      <c r="C489" t="s">
        <v>16</v>
      </c>
      <c r="D489">
        <v>2</v>
      </c>
      <c r="E489">
        <v>40</v>
      </c>
      <c r="F489">
        <v>0.03</v>
      </c>
      <c r="G489" t="s">
        <v>24</v>
      </c>
    </row>
    <row r="490" spans="1:7" x14ac:dyDescent="0.3">
      <c r="A490">
        <v>43296</v>
      </c>
      <c r="B490" t="s">
        <v>20</v>
      </c>
      <c r="C490" t="s">
        <v>18</v>
      </c>
      <c r="D490">
        <v>15</v>
      </c>
      <c r="E490">
        <v>16</v>
      </c>
      <c r="F490">
        <v>0.12</v>
      </c>
      <c r="G490" t="s">
        <v>25</v>
      </c>
    </row>
    <row r="491" spans="1:7" x14ac:dyDescent="0.3">
      <c r="A491">
        <v>43296</v>
      </c>
      <c r="B491" t="s">
        <v>20</v>
      </c>
      <c r="C491" t="s">
        <v>16</v>
      </c>
      <c r="D491">
        <v>9</v>
      </c>
      <c r="E491">
        <v>16</v>
      </c>
      <c r="F491">
        <v>0.05</v>
      </c>
      <c r="G491" t="s">
        <v>26</v>
      </c>
    </row>
    <row r="492" spans="1:7" x14ac:dyDescent="0.3">
      <c r="A492">
        <v>43296</v>
      </c>
      <c r="B492" t="s">
        <v>10</v>
      </c>
      <c r="C492" t="s">
        <v>21</v>
      </c>
      <c r="D492">
        <v>7</v>
      </c>
      <c r="E492">
        <v>40</v>
      </c>
      <c r="F492">
        <v>0.05</v>
      </c>
      <c r="G492" t="s">
        <v>9</v>
      </c>
    </row>
    <row r="493" spans="1:7" x14ac:dyDescent="0.3">
      <c r="A493">
        <v>43296</v>
      </c>
      <c r="B493" t="s">
        <v>23</v>
      </c>
      <c r="C493" t="s">
        <v>21</v>
      </c>
      <c r="D493">
        <v>4</v>
      </c>
      <c r="E493">
        <v>150</v>
      </c>
      <c r="F493">
        <v>0.05</v>
      </c>
      <c r="G493" t="s">
        <v>12</v>
      </c>
    </row>
    <row r="494" spans="1:7" x14ac:dyDescent="0.3">
      <c r="A494">
        <v>43296</v>
      </c>
      <c r="B494" t="s">
        <v>13</v>
      </c>
      <c r="C494" t="s">
        <v>8</v>
      </c>
      <c r="D494">
        <v>15</v>
      </c>
      <c r="E494">
        <v>230</v>
      </c>
      <c r="F494">
        <v>0.05</v>
      </c>
      <c r="G494" t="s">
        <v>14</v>
      </c>
    </row>
    <row r="495" spans="1:7" x14ac:dyDescent="0.3">
      <c r="A495">
        <v>43297</v>
      </c>
      <c r="B495" t="s">
        <v>10</v>
      </c>
      <c r="C495" t="s">
        <v>11</v>
      </c>
      <c r="D495">
        <v>12</v>
      </c>
      <c r="E495">
        <v>40</v>
      </c>
      <c r="F495">
        <v>0.1</v>
      </c>
      <c r="G495" t="s">
        <v>15</v>
      </c>
    </row>
    <row r="496" spans="1:7" x14ac:dyDescent="0.3">
      <c r="A496">
        <v>43297</v>
      </c>
      <c r="B496" t="s">
        <v>13</v>
      </c>
      <c r="C496" t="s">
        <v>18</v>
      </c>
      <c r="D496">
        <v>23</v>
      </c>
      <c r="E496">
        <v>230</v>
      </c>
      <c r="F496">
        <v>0.06</v>
      </c>
      <c r="G496" t="s">
        <v>17</v>
      </c>
    </row>
    <row r="497" spans="1:7" x14ac:dyDescent="0.3">
      <c r="A497">
        <v>43297</v>
      </c>
      <c r="B497" t="s">
        <v>20</v>
      </c>
      <c r="C497" t="s">
        <v>8</v>
      </c>
      <c r="D497">
        <v>11</v>
      </c>
      <c r="E497">
        <v>16</v>
      </c>
      <c r="F497">
        <v>0.09</v>
      </c>
      <c r="G497" t="s">
        <v>19</v>
      </c>
    </row>
    <row r="498" spans="1:7" x14ac:dyDescent="0.3">
      <c r="A498">
        <v>43297</v>
      </c>
      <c r="B498" t="s">
        <v>23</v>
      </c>
      <c r="C498" t="s">
        <v>8</v>
      </c>
      <c r="D498">
        <v>9</v>
      </c>
      <c r="E498">
        <v>150</v>
      </c>
      <c r="F498">
        <v>0.1</v>
      </c>
      <c r="G498" t="s">
        <v>22</v>
      </c>
    </row>
    <row r="499" spans="1:7" x14ac:dyDescent="0.3">
      <c r="A499">
        <v>43297</v>
      </c>
      <c r="B499" t="s">
        <v>7</v>
      </c>
      <c r="C499" t="s">
        <v>8</v>
      </c>
      <c r="D499">
        <v>18</v>
      </c>
      <c r="E499">
        <v>80</v>
      </c>
      <c r="F499">
        <v>0.02</v>
      </c>
      <c r="G499" t="s">
        <v>24</v>
      </c>
    </row>
    <row r="500" spans="1:7" x14ac:dyDescent="0.3">
      <c r="A500">
        <v>43297</v>
      </c>
      <c r="B500" t="s">
        <v>10</v>
      </c>
      <c r="C500" t="s">
        <v>21</v>
      </c>
      <c r="D500">
        <v>23</v>
      </c>
      <c r="E500">
        <v>40</v>
      </c>
      <c r="F500">
        <v>0.04</v>
      </c>
      <c r="G500" t="s">
        <v>25</v>
      </c>
    </row>
    <row r="501" spans="1:7" x14ac:dyDescent="0.3">
      <c r="A501">
        <v>43297</v>
      </c>
      <c r="B501" t="s">
        <v>20</v>
      </c>
      <c r="C501" t="s">
        <v>21</v>
      </c>
      <c r="D501">
        <v>17</v>
      </c>
      <c r="E501">
        <v>16</v>
      </c>
      <c r="F501">
        <v>0.1</v>
      </c>
      <c r="G501" t="s">
        <v>26</v>
      </c>
    </row>
    <row r="502" spans="1:7" x14ac:dyDescent="0.3">
      <c r="A502">
        <v>43297</v>
      </c>
      <c r="B502" t="s">
        <v>23</v>
      </c>
      <c r="C502" t="s">
        <v>21</v>
      </c>
      <c r="D502">
        <v>17</v>
      </c>
      <c r="E502">
        <v>150</v>
      </c>
      <c r="F502">
        <v>0.02</v>
      </c>
      <c r="G502" t="s">
        <v>27</v>
      </c>
    </row>
    <row r="503" spans="1:7" x14ac:dyDescent="0.3">
      <c r="A503">
        <v>43297</v>
      </c>
      <c r="B503" t="s">
        <v>7</v>
      </c>
      <c r="C503" t="s">
        <v>18</v>
      </c>
      <c r="D503">
        <v>21</v>
      </c>
      <c r="E503">
        <v>80</v>
      </c>
      <c r="F503">
        <v>0.02</v>
      </c>
      <c r="G503" t="s">
        <v>28</v>
      </c>
    </row>
    <row r="504" spans="1:7" x14ac:dyDescent="0.3">
      <c r="A504">
        <v>43297</v>
      </c>
      <c r="B504" t="s">
        <v>10</v>
      </c>
      <c r="C504" t="s">
        <v>18</v>
      </c>
      <c r="D504">
        <v>11</v>
      </c>
      <c r="E504">
        <v>40</v>
      </c>
      <c r="F504">
        <v>0.06</v>
      </c>
      <c r="G504" t="s">
        <v>9</v>
      </c>
    </row>
    <row r="505" spans="1:7" x14ac:dyDescent="0.3">
      <c r="A505">
        <v>43297</v>
      </c>
      <c r="B505" t="s">
        <v>10</v>
      </c>
      <c r="C505" t="s">
        <v>8</v>
      </c>
      <c r="D505">
        <v>19</v>
      </c>
      <c r="E505">
        <v>40</v>
      </c>
      <c r="F505">
        <v>0.04</v>
      </c>
      <c r="G505" t="s">
        <v>12</v>
      </c>
    </row>
    <row r="506" spans="1:7" x14ac:dyDescent="0.3">
      <c r="A506">
        <v>43297</v>
      </c>
      <c r="B506" t="s">
        <v>10</v>
      </c>
      <c r="C506" t="s">
        <v>8</v>
      </c>
      <c r="D506">
        <v>23</v>
      </c>
      <c r="E506">
        <v>40</v>
      </c>
      <c r="F506">
        <v>0.03</v>
      </c>
      <c r="G506" t="s">
        <v>14</v>
      </c>
    </row>
    <row r="507" spans="1:7" x14ac:dyDescent="0.3">
      <c r="A507">
        <v>43297</v>
      </c>
      <c r="B507" t="s">
        <v>13</v>
      </c>
      <c r="C507" t="s">
        <v>11</v>
      </c>
      <c r="D507">
        <v>14</v>
      </c>
      <c r="E507">
        <v>230</v>
      </c>
      <c r="F507">
        <v>0.05</v>
      </c>
      <c r="G507" t="s">
        <v>15</v>
      </c>
    </row>
    <row r="508" spans="1:7" x14ac:dyDescent="0.3">
      <c r="A508">
        <v>43297</v>
      </c>
      <c r="B508" t="s">
        <v>10</v>
      </c>
      <c r="C508" t="s">
        <v>16</v>
      </c>
      <c r="D508">
        <v>18</v>
      </c>
      <c r="E508">
        <v>40</v>
      </c>
      <c r="F508">
        <v>0.03</v>
      </c>
      <c r="G508" t="s">
        <v>17</v>
      </c>
    </row>
    <row r="509" spans="1:7" x14ac:dyDescent="0.3">
      <c r="A509">
        <v>43297</v>
      </c>
      <c r="B509" t="s">
        <v>23</v>
      </c>
      <c r="C509" t="s">
        <v>11</v>
      </c>
      <c r="D509">
        <v>2</v>
      </c>
      <c r="E509">
        <v>150</v>
      </c>
      <c r="F509">
        <v>0.09</v>
      </c>
      <c r="G509" t="s">
        <v>19</v>
      </c>
    </row>
    <row r="510" spans="1:7" x14ac:dyDescent="0.3">
      <c r="A510">
        <v>43297</v>
      </c>
      <c r="B510" t="s">
        <v>13</v>
      </c>
      <c r="C510" t="s">
        <v>11</v>
      </c>
      <c r="D510">
        <v>7</v>
      </c>
      <c r="E510">
        <v>230</v>
      </c>
      <c r="F510">
        <v>0.05</v>
      </c>
      <c r="G510" t="s">
        <v>22</v>
      </c>
    </row>
    <row r="511" spans="1:7" x14ac:dyDescent="0.3">
      <c r="A511">
        <v>43298</v>
      </c>
      <c r="B511" t="s">
        <v>23</v>
      </c>
      <c r="C511" t="s">
        <v>16</v>
      </c>
      <c r="D511">
        <v>9</v>
      </c>
      <c r="E511">
        <v>150</v>
      </c>
      <c r="F511">
        <v>0.02</v>
      </c>
      <c r="G511" t="s">
        <v>24</v>
      </c>
    </row>
    <row r="512" spans="1:7" x14ac:dyDescent="0.3">
      <c r="A512">
        <v>43298</v>
      </c>
      <c r="B512" t="s">
        <v>10</v>
      </c>
      <c r="C512" t="s">
        <v>21</v>
      </c>
      <c r="D512">
        <v>3</v>
      </c>
      <c r="E512">
        <v>40</v>
      </c>
      <c r="F512">
        <v>0.03</v>
      </c>
      <c r="G512" t="s">
        <v>25</v>
      </c>
    </row>
    <row r="513" spans="1:7" x14ac:dyDescent="0.3">
      <c r="A513">
        <v>43298</v>
      </c>
      <c r="B513" t="s">
        <v>7</v>
      </c>
      <c r="C513" t="s">
        <v>18</v>
      </c>
      <c r="D513">
        <v>2</v>
      </c>
      <c r="E513">
        <v>80</v>
      </c>
      <c r="F513">
        <v>0.08</v>
      </c>
      <c r="G513" t="s">
        <v>26</v>
      </c>
    </row>
    <row r="514" spans="1:7" x14ac:dyDescent="0.3">
      <c r="A514">
        <v>43298</v>
      </c>
      <c r="B514" t="s">
        <v>20</v>
      </c>
      <c r="C514" t="s">
        <v>21</v>
      </c>
      <c r="D514">
        <v>19</v>
      </c>
      <c r="E514">
        <v>16</v>
      </c>
      <c r="F514">
        <v>0.02</v>
      </c>
      <c r="G514" t="s">
        <v>27</v>
      </c>
    </row>
    <row r="515" spans="1:7" x14ac:dyDescent="0.3">
      <c r="A515">
        <v>43298</v>
      </c>
      <c r="B515" t="s">
        <v>20</v>
      </c>
      <c r="C515" t="s">
        <v>11</v>
      </c>
      <c r="D515">
        <v>21</v>
      </c>
      <c r="E515">
        <v>16</v>
      </c>
      <c r="F515">
        <v>0.02</v>
      </c>
      <c r="G515" t="s">
        <v>28</v>
      </c>
    </row>
    <row r="516" spans="1:7" x14ac:dyDescent="0.3">
      <c r="A516">
        <v>43298</v>
      </c>
      <c r="B516" t="s">
        <v>7</v>
      </c>
      <c r="C516" t="s">
        <v>18</v>
      </c>
      <c r="D516">
        <v>21</v>
      </c>
      <c r="E516">
        <v>80</v>
      </c>
      <c r="F516">
        <v>0.05</v>
      </c>
      <c r="G516" t="s">
        <v>9</v>
      </c>
    </row>
    <row r="517" spans="1:7" x14ac:dyDescent="0.3">
      <c r="A517">
        <v>43298</v>
      </c>
      <c r="B517" t="s">
        <v>13</v>
      </c>
      <c r="C517" t="s">
        <v>21</v>
      </c>
      <c r="D517">
        <v>3</v>
      </c>
      <c r="E517">
        <v>230</v>
      </c>
      <c r="F517">
        <v>0.1</v>
      </c>
      <c r="G517" t="s">
        <v>12</v>
      </c>
    </row>
    <row r="518" spans="1:7" x14ac:dyDescent="0.3">
      <c r="A518">
        <v>43298</v>
      </c>
      <c r="B518" t="s">
        <v>10</v>
      </c>
      <c r="C518" t="s">
        <v>16</v>
      </c>
      <c r="D518">
        <v>4</v>
      </c>
      <c r="E518">
        <v>40</v>
      </c>
      <c r="F518">
        <v>0.11</v>
      </c>
      <c r="G518" t="s">
        <v>14</v>
      </c>
    </row>
    <row r="519" spans="1:7" x14ac:dyDescent="0.3">
      <c r="A519">
        <v>43298</v>
      </c>
      <c r="B519" t="s">
        <v>23</v>
      </c>
      <c r="C519" t="s">
        <v>21</v>
      </c>
      <c r="D519">
        <v>7</v>
      </c>
      <c r="E519">
        <v>150</v>
      </c>
      <c r="F519">
        <v>0.03</v>
      </c>
      <c r="G519" t="s">
        <v>15</v>
      </c>
    </row>
    <row r="520" spans="1:7" x14ac:dyDescent="0.3">
      <c r="A520">
        <v>43298</v>
      </c>
      <c r="B520" t="s">
        <v>20</v>
      </c>
      <c r="C520" t="s">
        <v>16</v>
      </c>
      <c r="D520">
        <v>11</v>
      </c>
      <c r="E520">
        <v>16</v>
      </c>
      <c r="F520">
        <v>0.12</v>
      </c>
      <c r="G520" t="s">
        <v>17</v>
      </c>
    </row>
    <row r="521" spans="1:7" x14ac:dyDescent="0.3">
      <c r="A521">
        <v>43298</v>
      </c>
      <c r="B521" t="s">
        <v>7</v>
      </c>
      <c r="C521" t="s">
        <v>8</v>
      </c>
      <c r="D521">
        <v>17</v>
      </c>
      <c r="E521">
        <v>80</v>
      </c>
      <c r="F521">
        <v>7.0000000000000007E-2</v>
      </c>
      <c r="G521" t="s">
        <v>19</v>
      </c>
    </row>
    <row r="522" spans="1:7" x14ac:dyDescent="0.3">
      <c r="A522">
        <v>43298</v>
      </c>
      <c r="B522" t="s">
        <v>20</v>
      </c>
      <c r="C522" t="s">
        <v>18</v>
      </c>
      <c r="D522">
        <v>5</v>
      </c>
      <c r="E522">
        <v>16</v>
      </c>
      <c r="F522">
        <v>0.09</v>
      </c>
      <c r="G522" t="s">
        <v>22</v>
      </c>
    </row>
    <row r="523" spans="1:7" x14ac:dyDescent="0.3">
      <c r="A523">
        <v>43298</v>
      </c>
      <c r="B523" t="s">
        <v>20</v>
      </c>
      <c r="C523" t="s">
        <v>21</v>
      </c>
      <c r="D523">
        <v>13</v>
      </c>
      <c r="E523">
        <v>16</v>
      </c>
      <c r="F523">
        <v>7.0000000000000007E-2</v>
      </c>
      <c r="G523" t="s">
        <v>24</v>
      </c>
    </row>
    <row r="524" spans="1:7" x14ac:dyDescent="0.3">
      <c r="A524">
        <v>43298</v>
      </c>
      <c r="B524" t="s">
        <v>7</v>
      </c>
      <c r="C524" t="s">
        <v>21</v>
      </c>
      <c r="D524">
        <v>9</v>
      </c>
      <c r="E524">
        <v>80</v>
      </c>
      <c r="F524">
        <v>0.02</v>
      </c>
      <c r="G524" t="s">
        <v>25</v>
      </c>
    </row>
    <row r="525" spans="1:7" x14ac:dyDescent="0.3">
      <c r="A525">
        <v>43299</v>
      </c>
      <c r="B525" t="s">
        <v>7</v>
      </c>
      <c r="C525" t="s">
        <v>21</v>
      </c>
      <c r="D525">
        <v>9</v>
      </c>
      <c r="E525">
        <v>80</v>
      </c>
      <c r="F525">
        <v>0.02</v>
      </c>
      <c r="G525" t="s">
        <v>26</v>
      </c>
    </row>
    <row r="526" spans="1:7" x14ac:dyDescent="0.3">
      <c r="A526">
        <v>43299</v>
      </c>
      <c r="B526" t="s">
        <v>7</v>
      </c>
      <c r="C526" t="s">
        <v>18</v>
      </c>
      <c r="D526">
        <v>22</v>
      </c>
      <c r="E526">
        <v>80</v>
      </c>
      <c r="F526">
        <v>0.03</v>
      </c>
      <c r="G526" t="s">
        <v>27</v>
      </c>
    </row>
    <row r="527" spans="1:7" x14ac:dyDescent="0.3">
      <c r="A527">
        <v>43299</v>
      </c>
      <c r="B527" t="s">
        <v>23</v>
      </c>
      <c r="C527" t="s">
        <v>8</v>
      </c>
      <c r="D527">
        <v>13</v>
      </c>
      <c r="E527">
        <v>150</v>
      </c>
      <c r="F527">
        <v>0.05</v>
      </c>
      <c r="G527" t="s">
        <v>28</v>
      </c>
    </row>
    <row r="528" spans="1:7" x14ac:dyDescent="0.3">
      <c r="A528">
        <v>43299</v>
      </c>
      <c r="B528" t="s">
        <v>7</v>
      </c>
      <c r="C528" t="s">
        <v>8</v>
      </c>
      <c r="D528">
        <v>14</v>
      </c>
      <c r="E528">
        <v>80</v>
      </c>
      <c r="F528">
        <v>0.08</v>
      </c>
      <c r="G528" t="s">
        <v>9</v>
      </c>
    </row>
    <row r="529" spans="1:7" x14ac:dyDescent="0.3">
      <c r="A529">
        <v>43299</v>
      </c>
      <c r="B529" t="s">
        <v>7</v>
      </c>
      <c r="C529" t="s">
        <v>8</v>
      </c>
      <c r="D529">
        <v>6</v>
      </c>
      <c r="E529">
        <v>80</v>
      </c>
      <c r="F529">
        <v>7.0000000000000007E-2</v>
      </c>
      <c r="G529" t="s">
        <v>12</v>
      </c>
    </row>
    <row r="530" spans="1:7" x14ac:dyDescent="0.3">
      <c r="A530">
        <v>43299</v>
      </c>
      <c r="B530" t="s">
        <v>7</v>
      </c>
      <c r="C530" t="s">
        <v>8</v>
      </c>
      <c r="D530">
        <v>16</v>
      </c>
      <c r="E530">
        <v>80</v>
      </c>
      <c r="F530">
        <v>0.03</v>
      </c>
      <c r="G530" t="s">
        <v>14</v>
      </c>
    </row>
    <row r="531" spans="1:7" x14ac:dyDescent="0.3">
      <c r="A531">
        <v>43299</v>
      </c>
      <c r="B531" t="s">
        <v>23</v>
      </c>
      <c r="C531" t="s">
        <v>16</v>
      </c>
      <c r="D531">
        <v>22</v>
      </c>
      <c r="E531">
        <v>150</v>
      </c>
      <c r="F531">
        <v>0.09</v>
      </c>
      <c r="G531" t="s">
        <v>15</v>
      </c>
    </row>
    <row r="532" spans="1:7" x14ac:dyDescent="0.3">
      <c r="A532">
        <v>43299</v>
      </c>
      <c r="B532" t="s">
        <v>23</v>
      </c>
      <c r="C532" t="s">
        <v>18</v>
      </c>
      <c r="D532">
        <v>4</v>
      </c>
      <c r="E532">
        <v>150</v>
      </c>
      <c r="F532">
        <v>0.12</v>
      </c>
      <c r="G532" t="s">
        <v>17</v>
      </c>
    </row>
    <row r="533" spans="1:7" x14ac:dyDescent="0.3">
      <c r="A533">
        <v>43299</v>
      </c>
      <c r="B533" t="s">
        <v>13</v>
      </c>
      <c r="C533" t="s">
        <v>21</v>
      </c>
      <c r="D533">
        <v>7</v>
      </c>
      <c r="E533">
        <v>230</v>
      </c>
      <c r="F533">
        <v>0.05</v>
      </c>
      <c r="G533" t="s">
        <v>19</v>
      </c>
    </row>
    <row r="534" spans="1:7" x14ac:dyDescent="0.3">
      <c r="A534">
        <v>43299</v>
      </c>
      <c r="B534" t="s">
        <v>23</v>
      </c>
      <c r="C534" t="s">
        <v>18</v>
      </c>
      <c r="D534">
        <v>20</v>
      </c>
      <c r="E534">
        <v>150</v>
      </c>
      <c r="F534">
        <v>0.1</v>
      </c>
      <c r="G534" t="s">
        <v>22</v>
      </c>
    </row>
    <row r="535" spans="1:7" x14ac:dyDescent="0.3">
      <c r="A535">
        <v>43299</v>
      </c>
      <c r="B535" t="s">
        <v>13</v>
      </c>
      <c r="C535" t="s">
        <v>18</v>
      </c>
      <c r="D535">
        <v>8</v>
      </c>
      <c r="E535">
        <v>230</v>
      </c>
      <c r="F535">
        <v>0.05</v>
      </c>
      <c r="G535" t="s">
        <v>24</v>
      </c>
    </row>
    <row r="536" spans="1:7" x14ac:dyDescent="0.3">
      <c r="A536">
        <v>43300</v>
      </c>
      <c r="B536" t="s">
        <v>10</v>
      </c>
      <c r="C536" t="s">
        <v>18</v>
      </c>
      <c r="D536">
        <v>9</v>
      </c>
      <c r="E536">
        <v>40</v>
      </c>
      <c r="F536">
        <v>0.06</v>
      </c>
      <c r="G536" t="s">
        <v>25</v>
      </c>
    </row>
    <row r="537" spans="1:7" x14ac:dyDescent="0.3">
      <c r="A537">
        <v>43300</v>
      </c>
      <c r="B537" t="s">
        <v>13</v>
      </c>
      <c r="C537" t="s">
        <v>18</v>
      </c>
      <c r="D537">
        <v>19</v>
      </c>
      <c r="E537">
        <v>230</v>
      </c>
      <c r="F537">
        <v>0.06</v>
      </c>
      <c r="G537" t="s">
        <v>26</v>
      </c>
    </row>
    <row r="538" spans="1:7" x14ac:dyDescent="0.3">
      <c r="A538">
        <v>43300</v>
      </c>
      <c r="B538" t="s">
        <v>10</v>
      </c>
      <c r="C538" t="s">
        <v>18</v>
      </c>
      <c r="D538">
        <v>22</v>
      </c>
      <c r="E538">
        <v>40</v>
      </c>
      <c r="F538">
        <v>0.01</v>
      </c>
      <c r="G538" t="s">
        <v>27</v>
      </c>
    </row>
    <row r="539" spans="1:7" x14ac:dyDescent="0.3">
      <c r="A539">
        <v>43300</v>
      </c>
      <c r="B539" t="s">
        <v>10</v>
      </c>
      <c r="C539" t="s">
        <v>8</v>
      </c>
      <c r="D539">
        <v>22</v>
      </c>
      <c r="E539">
        <v>40</v>
      </c>
      <c r="F539">
        <v>0.02</v>
      </c>
      <c r="G539" t="s">
        <v>28</v>
      </c>
    </row>
    <row r="540" spans="1:7" x14ac:dyDescent="0.3">
      <c r="A540">
        <v>43300</v>
      </c>
      <c r="B540" t="s">
        <v>7</v>
      </c>
      <c r="C540" t="s">
        <v>21</v>
      </c>
      <c r="D540">
        <v>10</v>
      </c>
      <c r="E540">
        <v>80</v>
      </c>
      <c r="F540">
        <v>0.06</v>
      </c>
      <c r="G540" t="s">
        <v>9</v>
      </c>
    </row>
    <row r="541" spans="1:7" x14ac:dyDescent="0.3">
      <c r="A541">
        <v>43300</v>
      </c>
      <c r="B541" t="s">
        <v>10</v>
      </c>
      <c r="C541" t="s">
        <v>18</v>
      </c>
      <c r="D541">
        <v>7</v>
      </c>
      <c r="E541">
        <v>40</v>
      </c>
      <c r="F541">
        <v>0.11</v>
      </c>
      <c r="G541" t="s">
        <v>12</v>
      </c>
    </row>
    <row r="542" spans="1:7" x14ac:dyDescent="0.3">
      <c r="A542">
        <v>43300</v>
      </c>
      <c r="B542" t="s">
        <v>13</v>
      </c>
      <c r="C542" t="s">
        <v>8</v>
      </c>
      <c r="D542">
        <v>7</v>
      </c>
      <c r="E542">
        <v>230</v>
      </c>
      <c r="F542">
        <v>0.08</v>
      </c>
      <c r="G542" t="s">
        <v>14</v>
      </c>
    </row>
    <row r="543" spans="1:7" x14ac:dyDescent="0.3">
      <c r="A543">
        <v>43300</v>
      </c>
      <c r="B543" t="s">
        <v>20</v>
      </c>
      <c r="C543" t="s">
        <v>8</v>
      </c>
      <c r="D543">
        <v>18</v>
      </c>
      <c r="E543">
        <v>16</v>
      </c>
      <c r="F543">
        <v>0.11</v>
      </c>
      <c r="G543" t="s">
        <v>15</v>
      </c>
    </row>
    <row r="544" spans="1:7" x14ac:dyDescent="0.3">
      <c r="A544">
        <v>43300</v>
      </c>
      <c r="B544" t="s">
        <v>13</v>
      </c>
      <c r="C544" t="s">
        <v>16</v>
      </c>
      <c r="D544">
        <v>14</v>
      </c>
      <c r="E544">
        <v>230</v>
      </c>
      <c r="F544">
        <v>0.12</v>
      </c>
      <c r="G544" t="s">
        <v>17</v>
      </c>
    </row>
    <row r="545" spans="1:7" x14ac:dyDescent="0.3">
      <c r="A545">
        <v>43300</v>
      </c>
      <c r="B545" t="s">
        <v>10</v>
      </c>
      <c r="C545" t="s">
        <v>11</v>
      </c>
      <c r="D545">
        <v>21</v>
      </c>
      <c r="E545">
        <v>40</v>
      </c>
      <c r="F545">
        <v>0.03</v>
      </c>
      <c r="G545" t="s">
        <v>19</v>
      </c>
    </row>
    <row r="546" spans="1:7" x14ac:dyDescent="0.3">
      <c r="A546">
        <v>43300</v>
      </c>
      <c r="B546" t="s">
        <v>23</v>
      </c>
      <c r="C546" t="s">
        <v>8</v>
      </c>
      <c r="D546">
        <v>3</v>
      </c>
      <c r="E546">
        <v>150</v>
      </c>
      <c r="F546">
        <v>0.03</v>
      </c>
      <c r="G546" t="s">
        <v>22</v>
      </c>
    </row>
    <row r="547" spans="1:7" x14ac:dyDescent="0.3">
      <c r="A547">
        <v>43300</v>
      </c>
      <c r="B547" t="s">
        <v>7</v>
      </c>
      <c r="C547" t="s">
        <v>8</v>
      </c>
      <c r="D547">
        <v>12</v>
      </c>
      <c r="E547">
        <v>80</v>
      </c>
      <c r="F547">
        <v>0.04</v>
      </c>
      <c r="G547" t="s">
        <v>24</v>
      </c>
    </row>
    <row r="548" spans="1:7" x14ac:dyDescent="0.3">
      <c r="A548">
        <v>43301</v>
      </c>
      <c r="B548" t="s">
        <v>23</v>
      </c>
      <c r="C548" t="s">
        <v>18</v>
      </c>
      <c r="D548">
        <v>6</v>
      </c>
      <c r="E548">
        <v>150</v>
      </c>
      <c r="F548">
        <v>0.03</v>
      </c>
      <c r="G548" t="s">
        <v>25</v>
      </c>
    </row>
    <row r="549" spans="1:7" x14ac:dyDescent="0.3">
      <c r="A549">
        <v>43301</v>
      </c>
      <c r="B549" t="s">
        <v>10</v>
      </c>
      <c r="C549" t="s">
        <v>16</v>
      </c>
      <c r="D549">
        <v>20</v>
      </c>
      <c r="E549">
        <v>40</v>
      </c>
      <c r="F549">
        <v>0.01</v>
      </c>
      <c r="G549" t="s">
        <v>26</v>
      </c>
    </row>
    <row r="550" spans="1:7" x14ac:dyDescent="0.3">
      <c r="A550">
        <v>43301</v>
      </c>
      <c r="B550" t="s">
        <v>13</v>
      </c>
      <c r="C550" t="s">
        <v>8</v>
      </c>
      <c r="D550">
        <v>3</v>
      </c>
      <c r="E550">
        <v>230</v>
      </c>
      <c r="F550">
        <v>0.06</v>
      </c>
      <c r="G550" t="s">
        <v>22</v>
      </c>
    </row>
    <row r="551" spans="1:7" x14ac:dyDescent="0.3">
      <c r="A551">
        <v>43301</v>
      </c>
      <c r="B551" t="s">
        <v>13</v>
      </c>
      <c r="C551" t="s">
        <v>18</v>
      </c>
      <c r="D551">
        <v>3</v>
      </c>
      <c r="E551">
        <v>230</v>
      </c>
      <c r="F551">
        <v>0.01</v>
      </c>
      <c r="G551" t="s">
        <v>24</v>
      </c>
    </row>
    <row r="552" spans="1:7" x14ac:dyDescent="0.3">
      <c r="A552">
        <v>43301</v>
      </c>
      <c r="B552" t="s">
        <v>10</v>
      </c>
      <c r="C552" t="s">
        <v>8</v>
      </c>
      <c r="D552">
        <v>20</v>
      </c>
      <c r="E552">
        <v>40</v>
      </c>
      <c r="F552">
        <v>0.04</v>
      </c>
      <c r="G552" t="s">
        <v>25</v>
      </c>
    </row>
    <row r="553" spans="1:7" x14ac:dyDescent="0.3">
      <c r="A553">
        <v>43301</v>
      </c>
      <c r="B553" t="s">
        <v>7</v>
      </c>
      <c r="C553" t="s">
        <v>16</v>
      </c>
      <c r="D553">
        <v>16</v>
      </c>
      <c r="E553">
        <v>80</v>
      </c>
      <c r="F553">
        <v>0.02</v>
      </c>
      <c r="G553" t="s">
        <v>26</v>
      </c>
    </row>
    <row r="554" spans="1:7" x14ac:dyDescent="0.3">
      <c r="A554">
        <v>43301</v>
      </c>
      <c r="B554" t="s">
        <v>23</v>
      </c>
      <c r="C554" t="s">
        <v>8</v>
      </c>
      <c r="D554">
        <v>8</v>
      </c>
      <c r="E554">
        <v>150</v>
      </c>
      <c r="F554">
        <v>0.09</v>
      </c>
      <c r="G554" t="s">
        <v>22</v>
      </c>
    </row>
    <row r="555" spans="1:7" x14ac:dyDescent="0.3">
      <c r="A555">
        <v>43302</v>
      </c>
      <c r="B555" t="s">
        <v>13</v>
      </c>
      <c r="C555" t="s">
        <v>11</v>
      </c>
      <c r="D555">
        <v>7</v>
      </c>
      <c r="E555">
        <v>230</v>
      </c>
      <c r="F555">
        <v>0.01</v>
      </c>
      <c r="G555" t="s">
        <v>24</v>
      </c>
    </row>
    <row r="556" spans="1:7" x14ac:dyDescent="0.3">
      <c r="A556">
        <v>43302</v>
      </c>
      <c r="B556" t="s">
        <v>23</v>
      </c>
      <c r="C556" t="s">
        <v>11</v>
      </c>
      <c r="D556">
        <v>23</v>
      </c>
      <c r="E556">
        <v>150</v>
      </c>
      <c r="F556">
        <v>0.11</v>
      </c>
      <c r="G556" t="s">
        <v>25</v>
      </c>
    </row>
    <row r="557" spans="1:7" x14ac:dyDescent="0.3">
      <c r="A557">
        <v>43302</v>
      </c>
      <c r="B557" t="s">
        <v>10</v>
      </c>
      <c r="C557" t="s">
        <v>21</v>
      </c>
      <c r="D557">
        <v>16</v>
      </c>
      <c r="E557">
        <v>40</v>
      </c>
      <c r="F557">
        <v>0.09</v>
      </c>
      <c r="G557" t="s">
        <v>26</v>
      </c>
    </row>
    <row r="558" spans="1:7" x14ac:dyDescent="0.3">
      <c r="A558">
        <v>43302</v>
      </c>
      <c r="B558" t="s">
        <v>10</v>
      </c>
      <c r="C558" t="s">
        <v>21</v>
      </c>
      <c r="D558">
        <v>20</v>
      </c>
      <c r="E558">
        <v>40</v>
      </c>
      <c r="F558">
        <v>0.1</v>
      </c>
      <c r="G558" t="s">
        <v>22</v>
      </c>
    </row>
    <row r="559" spans="1:7" x14ac:dyDescent="0.3">
      <c r="A559">
        <v>43302</v>
      </c>
      <c r="B559" t="s">
        <v>10</v>
      </c>
      <c r="C559" t="s">
        <v>11</v>
      </c>
      <c r="D559">
        <v>18</v>
      </c>
      <c r="E559">
        <v>40</v>
      </c>
      <c r="F559">
        <v>0.08</v>
      </c>
      <c r="G559" t="s">
        <v>24</v>
      </c>
    </row>
    <row r="560" spans="1:7" x14ac:dyDescent="0.3">
      <c r="A560">
        <v>43302</v>
      </c>
      <c r="B560" t="s">
        <v>7</v>
      </c>
      <c r="C560" t="s">
        <v>21</v>
      </c>
      <c r="D560">
        <v>22</v>
      </c>
      <c r="E560">
        <v>80</v>
      </c>
      <c r="F560">
        <v>0.09</v>
      </c>
      <c r="G560" t="s">
        <v>25</v>
      </c>
    </row>
    <row r="561" spans="1:7" x14ac:dyDescent="0.3">
      <c r="A561">
        <v>43302</v>
      </c>
      <c r="B561" t="s">
        <v>23</v>
      </c>
      <c r="C561" t="s">
        <v>11</v>
      </c>
      <c r="D561">
        <v>22</v>
      </c>
      <c r="E561">
        <v>150</v>
      </c>
      <c r="F561">
        <v>0.02</v>
      </c>
      <c r="G561" t="s">
        <v>26</v>
      </c>
    </row>
    <row r="562" spans="1:7" x14ac:dyDescent="0.3">
      <c r="A562">
        <v>43302</v>
      </c>
      <c r="B562" t="s">
        <v>23</v>
      </c>
      <c r="C562" t="s">
        <v>11</v>
      </c>
      <c r="D562">
        <v>20</v>
      </c>
      <c r="E562">
        <v>150</v>
      </c>
      <c r="F562">
        <v>0.09</v>
      </c>
      <c r="G562" t="s">
        <v>22</v>
      </c>
    </row>
    <row r="563" spans="1:7" x14ac:dyDescent="0.3">
      <c r="A563">
        <v>43302</v>
      </c>
      <c r="B563" t="s">
        <v>20</v>
      </c>
      <c r="C563" t="s">
        <v>8</v>
      </c>
      <c r="D563">
        <v>10</v>
      </c>
      <c r="E563">
        <v>16</v>
      </c>
      <c r="F563">
        <v>0.08</v>
      </c>
      <c r="G563" t="s">
        <v>24</v>
      </c>
    </row>
    <row r="564" spans="1:7" x14ac:dyDescent="0.3">
      <c r="A564">
        <v>43302</v>
      </c>
      <c r="B564" t="s">
        <v>10</v>
      </c>
      <c r="C564" t="s">
        <v>16</v>
      </c>
      <c r="D564">
        <v>12</v>
      </c>
      <c r="E564">
        <v>40</v>
      </c>
      <c r="F564">
        <v>0.02</v>
      </c>
      <c r="G564" t="s">
        <v>25</v>
      </c>
    </row>
    <row r="565" spans="1:7" x14ac:dyDescent="0.3">
      <c r="A565">
        <v>43302</v>
      </c>
      <c r="B565" t="s">
        <v>23</v>
      </c>
      <c r="C565" t="s">
        <v>8</v>
      </c>
      <c r="D565">
        <v>4</v>
      </c>
      <c r="E565">
        <v>150</v>
      </c>
      <c r="F565">
        <v>0.1</v>
      </c>
      <c r="G565" t="s">
        <v>26</v>
      </c>
    </row>
    <row r="566" spans="1:7" x14ac:dyDescent="0.3">
      <c r="A566">
        <v>43302</v>
      </c>
      <c r="B566" t="s">
        <v>7</v>
      </c>
      <c r="C566" t="s">
        <v>16</v>
      </c>
      <c r="D566">
        <v>5</v>
      </c>
      <c r="E566">
        <v>80</v>
      </c>
      <c r="F566">
        <v>0.09</v>
      </c>
      <c r="G566" t="s">
        <v>22</v>
      </c>
    </row>
    <row r="567" spans="1:7" x14ac:dyDescent="0.3">
      <c r="A567">
        <v>43302</v>
      </c>
      <c r="B567" t="s">
        <v>10</v>
      </c>
      <c r="C567" t="s">
        <v>8</v>
      </c>
      <c r="D567">
        <v>11</v>
      </c>
      <c r="E567">
        <v>40</v>
      </c>
      <c r="F567">
        <v>0.04</v>
      </c>
      <c r="G567" t="s">
        <v>24</v>
      </c>
    </row>
    <row r="568" spans="1:7" x14ac:dyDescent="0.3">
      <c r="A568">
        <v>43302</v>
      </c>
      <c r="B568" t="s">
        <v>23</v>
      </c>
      <c r="C568" t="s">
        <v>11</v>
      </c>
      <c r="D568">
        <v>13</v>
      </c>
      <c r="E568">
        <v>150</v>
      </c>
      <c r="F568">
        <v>0.08</v>
      </c>
      <c r="G568" t="s">
        <v>25</v>
      </c>
    </row>
    <row r="569" spans="1:7" x14ac:dyDescent="0.3">
      <c r="A569">
        <v>43302</v>
      </c>
      <c r="B569" t="s">
        <v>7</v>
      </c>
      <c r="C569" t="s">
        <v>18</v>
      </c>
      <c r="D569">
        <v>19</v>
      </c>
      <c r="E569">
        <v>80</v>
      </c>
      <c r="F569">
        <v>0.02</v>
      </c>
      <c r="G569" t="s">
        <v>26</v>
      </c>
    </row>
    <row r="570" spans="1:7" x14ac:dyDescent="0.3">
      <c r="A570">
        <v>43302</v>
      </c>
      <c r="B570" t="s">
        <v>13</v>
      </c>
      <c r="C570" t="s">
        <v>11</v>
      </c>
      <c r="D570">
        <v>7</v>
      </c>
      <c r="E570">
        <v>230</v>
      </c>
      <c r="F570">
        <v>0.01</v>
      </c>
      <c r="G570" t="s">
        <v>22</v>
      </c>
    </row>
    <row r="571" spans="1:7" x14ac:dyDescent="0.3">
      <c r="A571">
        <v>43303</v>
      </c>
      <c r="B571" t="s">
        <v>7</v>
      </c>
      <c r="C571" t="s">
        <v>21</v>
      </c>
      <c r="D571">
        <v>16</v>
      </c>
      <c r="E571">
        <v>80</v>
      </c>
      <c r="F571">
        <v>0.09</v>
      </c>
      <c r="G571" t="s">
        <v>24</v>
      </c>
    </row>
    <row r="572" spans="1:7" x14ac:dyDescent="0.3">
      <c r="A572">
        <v>43303</v>
      </c>
      <c r="B572" t="s">
        <v>13</v>
      </c>
      <c r="C572" t="s">
        <v>8</v>
      </c>
      <c r="D572">
        <v>7</v>
      </c>
      <c r="E572">
        <v>230</v>
      </c>
      <c r="F572">
        <v>0.02</v>
      </c>
      <c r="G572" t="s">
        <v>25</v>
      </c>
    </row>
    <row r="573" spans="1:7" x14ac:dyDescent="0.3">
      <c r="A573">
        <v>43303</v>
      </c>
      <c r="B573" t="s">
        <v>10</v>
      </c>
      <c r="C573" t="s">
        <v>8</v>
      </c>
      <c r="D573">
        <v>5</v>
      </c>
      <c r="E573">
        <v>40</v>
      </c>
      <c r="F573">
        <v>0.06</v>
      </c>
      <c r="G573" t="s">
        <v>26</v>
      </c>
    </row>
    <row r="574" spans="1:7" x14ac:dyDescent="0.3">
      <c r="A574">
        <v>43303</v>
      </c>
      <c r="B574" t="s">
        <v>23</v>
      </c>
      <c r="C574" t="s">
        <v>16</v>
      </c>
      <c r="D574">
        <v>9</v>
      </c>
      <c r="E574">
        <v>150</v>
      </c>
      <c r="F574">
        <v>0.06</v>
      </c>
      <c r="G574" t="s">
        <v>22</v>
      </c>
    </row>
    <row r="575" spans="1:7" x14ac:dyDescent="0.3">
      <c r="A575">
        <v>43303</v>
      </c>
      <c r="B575" t="s">
        <v>10</v>
      </c>
      <c r="C575" t="s">
        <v>21</v>
      </c>
      <c r="D575">
        <v>20</v>
      </c>
      <c r="E575">
        <v>40</v>
      </c>
      <c r="F575">
        <v>7.0000000000000007E-2</v>
      </c>
      <c r="G575" t="s">
        <v>24</v>
      </c>
    </row>
    <row r="576" spans="1:7" x14ac:dyDescent="0.3">
      <c r="A576">
        <v>43303</v>
      </c>
      <c r="B576" t="s">
        <v>20</v>
      </c>
      <c r="C576" t="s">
        <v>11</v>
      </c>
      <c r="D576">
        <v>20</v>
      </c>
      <c r="E576">
        <v>16</v>
      </c>
      <c r="F576">
        <v>0.06</v>
      </c>
      <c r="G576" t="s">
        <v>25</v>
      </c>
    </row>
    <row r="577" spans="1:7" x14ac:dyDescent="0.3">
      <c r="A577">
        <v>43303</v>
      </c>
      <c r="B577" t="s">
        <v>10</v>
      </c>
      <c r="C577" t="s">
        <v>21</v>
      </c>
      <c r="D577">
        <v>5</v>
      </c>
      <c r="E577">
        <v>40</v>
      </c>
      <c r="F577">
        <v>0.03</v>
      </c>
      <c r="G577" t="s">
        <v>26</v>
      </c>
    </row>
    <row r="578" spans="1:7" x14ac:dyDescent="0.3">
      <c r="A578">
        <v>43304</v>
      </c>
      <c r="B578" t="s">
        <v>7</v>
      </c>
      <c r="C578" t="s">
        <v>18</v>
      </c>
      <c r="D578">
        <v>7</v>
      </c>
      <c r="E578">
        <v>80</v>
      </c>
      <c r="F578">
        <v>7.0000000000000007E-2</v>
      </c>
      <c r="G578" t="s">
        <v>22</v>
      </c>
    </row>
    <row r="579" spans="1:7" x14ac:dyDescent="0.3">
      <c r="A579">
        <v>43304</v>
      </c>
      <c r="B579" t="s">
        <v>20</v>
      </c>
      <c r="C579" t="s">
        <v>21</v>
      </c>
      <c r="D579">
        <v>22</v>
      </c>
      <c r="E579">
        <v>16</v>
      </c>
      <c r="F579">
        <v>0.12</v>
      </c>
      <c r="G579" t="s">
        <v>24</v>
      </c>
    </row>
    <row r="580" spans="1:7" x14ac:dyDescent="0.3">
      <c r="A580">
        <v>43304</v>
      </c>
      <c r="B580" t="s">
        <v>20</v>
      </c>
      <c r="C580" t="s">
        <v>21</v>
      </c>
      <c r="D580">
        <v>11</v>
      </c>
      <c r="E580">
        <v>16</v>
      </c>
      <c r="F580">
        <v>0.12</v>
      </c>
      <c r="G580" t="s">
        <v>25</v>
      </c>
    </row>
    <row r="581" spans="1:7" x14ac:dyDescent="0.3">
      <c r="A581">
        <v>43304</v>
      </c>
      <c r="B581" t="s">
        <v>13</v>
      </c>
      <c r="C581" t="s">
        <v>18</v>
      </c>
      <c r="D581">
        <v>17</v>
      </c>
      <c r="E581">
        <v>230</v>
      </c>
      <c r="F581">
        <v>0.12</v>
      </c>
      <c r="G581" t="s">
        <v>26</v>
      </c>
    </row>
    <row r="582" spans="1:7" x14ac:dyDescent="0.3">
      <c r="A582">
        <v>43304</v>
      </c>
      <c r="B582" t="s">
        <v>7</v>
      </c>
      <c r="C582" t="s">
        <v>8</v>
      </c>
      <c r="D582">
        <v>7</v>
      </c>
      <c r="E582">
        <v>80</v>
      </c>
      <c r="F582">
        <v>0.02</v>
      </c>
      <c r="G582" t="s">
        <v>22</v>
      </c>
    </row>
    <row r="583" spans="1:7" x14ac:dyDescent="0.3">
      <c r="A583">
        <v>43304</v>
      </c>
      <c r="B583" t="s">
        <v>20</v>
      </c>
      <c r="C583" t="s">
        <v>11</v>
      </c>
      <c r="D583">
        <v>5</v>
      </c>
      <c r="E583">
        <v>16</v>
      </c>
      <c r="F583">
        <v>0.11</v>
      </c>
      <c r="G583" t="s">
        <v>24</v>
      </c>
    </row>
    <row r="584" spans="1:7" x14ac:dyDescent="0.3">
      <c r="A584">
        <v>43304</v>
      </c>
      <c r="B584" t="s">
        <v>23</v>
      </c>
      <c r="C584" t="s">
        <v>21</v>
      </c>
      <c r="D584">
        <v>18</v>
      </c>
      <c r="E584">
        <v>150</v>
      </c>
      <c r="F584">
        <v>0.12</v>
      </c>
      <c r="G584" t="s">
        <v>25</v>
      </c>
    </row>
    <row r="585" spans="1:7" x14ac:dyDescent="0.3">
      <c r="A585">
        <v>43304</v>
      </c>
      <c r="B585" t="s">
        <v>10</v>
      </c>
      <c r="C585" t="s">
        <v>21</v>
      </c>
      <c r="D585">
        <v>10</v>
      </c>
      <c r="E585">
        <v>40</v>
      </c>
      <c r="F585">
        <v>0.03</v>
      </c>
      <c r="G585" t="s">
        <v>26</v>
      </c>
    </row>
    <row r="586" spans="1:7" x14ac:dyDescent="0.3">
      <c r="A586">
        <v>43304</v>
      </c>
      <c r="B586" t="s">
        <v>10</v>
      </c>
      <c r="C586" t="s">
        <v>21</v>
      </c>
      <c r="D586">
        <v>14</v>
      </c>
      <c r="E586">
        <v>40</v>
      </c>
      <c r="F586">
        <v>0.11</v>
      </c>
      <c r="G586" t="s">
        <v>22</v>
      </c>
    </row>
    <row r="587" spans="1:7" x14ac:dyDescent="0.3">
      <c r="A587">
        <v>43304</v>
      </c>
      <c r="B587" t="s">
        <v>10</v>
      </c>
      <c r="C587" t="s">
        <v>21</v>
      </c>
      <c r="D587">
        <v>16</v>
      </c>
      <c r="E587">
        <v>40</v>
      </c>
      <c r="F587">
        <v>0.09</v>
      </c>
      <c r="G587" t="s">
        <v>24</v>
      </c>
    </row>
    <row r="588" spans="1:7" x14ac:dyDescent="0.3">
      <c r="A588">
        <v>43305</v>
      </c>
      <c r="B588" t="s">
        <v>10</v>
      </c>
      <c r="C588" t="s">
        <v>18</v>
      </c>
      <c r="D588">
        <v>23</v>
      </c>
      <c r="E588">
        <v>40</v>
      </c>
      <c r="F588">
        <v>0.06</v>
      </c>
      <c r="G588" t="s">
        <v>25</v>
      </c>
    </row>
    <row r="589" spans="1:7" x14ac:dyDescent="0.3">
      <c r="A589">
        <v>43305</v>
      </c>
      <c r="B589" t="s">
        <v>13</v>
      </c>
      <c r="C589" t="s">
        <v>18</v>
      </c>
      <c r="D589">
        <v>8</v>
      </c>
      <c r="E589">
        <v>230</v>
      </c>
      <c r="F589">
        <v>0.05</v>
      </c>
      <c r="G589" t="s">
        <v>26</v>
      </c>
    </row>
    <row r="590" spans="1:7" x14ac:dyDescent="0.3">
      <c r="A590">
        <v>43305</v>
      </c>
      <c r="B590" t="s">
        <v>20</v>
      </c>
      <c r="C590" t="s">
        <v>18</v>
      </c>
      <c r="D590">
        <v>14</v>
      </c>
      <c r="E590">
        <v>16</v>
      </c>
      <c r="F590">
        <v>0.12</v>
      </c>
      <c r="G590" t="s">
        <v>22</v>
      </c>
    </row>
    <row r="591" spans="1:7" x14ac:dyDescent="0.3">
      <c r="A591">
        <v>43305</v>
      </c>
      <c r="B591" t="s">
        <v>7</v>
      </c>
      <c r="C591" t="s">
        <v>8</v>
      </c>
      <c r="D591">
        <v>17</v>
      </c>
      <c r="E591">
        <v>80</v>
      </c>
      <c r="F591">
        <v>0.09</v>
      </c>
      <c r="G591" t="s">
        <v>24</v>
      </c>
    </row>
    <row r="592" spans="1:7" x14ac:dyDescent="0.3">
      <c r="A592">
        <v>43305</v>
      </c>
      <c r="B592" t="s">
        <v>23</v>
      </c>
      <c r="C592" t="s">
        <v>16</v>
      </c>
      <c r="D592">
        <v>11</v>
      </c>
      <c r="E592">
        <v>150</v>
      </c>
      <c r="F592">
        <v>0.11</v>
      </c>
      <c r="G592" t="s">
        <v>25</v>
      </c>
    </row>
    <row r="593" spans="1:7" x14ac:dyDescent="0.3">
      <c r="A593">
        <v>43305</v>
      </c>
      <c r="B593" t="s">
        <v>10</v>
      </c>
      <c r="C593" t="s">
        <v>18</v>
      </c>
      <c r="D593">
        <v>15</v>
      </c>
      <c r="E593">
        <v>40</v>
      </c>
      <c r="F593">
        <v>0.03</v>
      </c>
      <c r="G593" t="s">
        <v>26</v>
      </c>
    </row>
    <row r="594" spans="1:7" x14ac:dyDescent="0.3">
      <c r="A594">
        <v>43305</v>
      </c>
      <c r="B594" t="s">
        <v>7</v>
      </c>
      <c r="C594" t="s">
        <v>21</v>
      </c>
      <c r="D594">
        <v>9</v>
      </c>
      <c r="E594">
        <v>80</v>
      </c>
      <c r="F594">
        <v>7.0000000000000007E-2</v>
      </c>
      <c r="G594" t="s">
        <v>22</v>
      </c>
    </row>
    <row r="595" spans="1:7" x14ac:dyDescent="0.3">
      <c r="A595">
        <v>43305</v>
      </c>
      <c r="B595" t="s">
        <v>13</v>
      </c>
      <c r="C595" t="s">
        <v>11</v>
      </c>
      <c r="D595">
        <v>22</v>
      </c>
      <c r="E595">
        <v>230</v>
      </c>
      <c r="F595">
        <v>0.04</v>
      </c>
      <c r="G595" t="s">
        <v>24</v>
      </c>
    </row>
    <row r="596" spans="1:7" x14ac:dyDescent="0.3">
      <c r="A596">
        <v>43305</v>
      </c>
      <c r="B596" t="s">
        <v>13</v>
      </c>
      <c r="C596" t="s">
        <v>11</v>
      </c>
      <c r="D596">
        <v>11</v>
      </c>
      <c r="E596">
        <v>230</v>
      </c>
      <c r="F596">
        <v>0.1</v>
      </c>
      <c r="G596" t="s">
        <v>25</v>
      </c>
    </row>
    <row r="597" spans="1:7" x14ac:dyDescent="0.3">
      <c r="A597">
        <v>43305</v>
      </c>
      <c r="B597" t="s">
        <v>10</v>
      </c>
      <c r="C597" t="s">
        <v>16</v>
      </c>
      <c r="D597">
        <v>11</v>
      </c>
      <c r="E597">
        <v>40</v>
      </c>
      <c r="F597">
        <v>0.12</v>
      </c>
      <c r="G597" t="s">
        <v>26</v>
      </c>
    </row>
    <row r="598" spans="1:7" x14ac:dyDescent="0.3">
      <c r="A598">
        <v>43305</v>
      </c>
      <c r="B598" t="s">
        <v>10</v>
      </c>
      <c r="C598" t="s">
        <v>18</v>
      </c>
      <c r="D598">
        <v>9</v>
      </c>
      <c r="E598">
        <v>40</v>
      </c>
      <c r="F598">
        <v>0.06</v>
      </c>
      <c r="G598" t="s">
        <v>22</v>
      </c>
    </row>
    <row r="599" spans="1:7" x14ac:dyDescent="0.3">
      <c r="A599">
        <v>43306</v>
      </c>
      <c r="B599" t="s">
        <v>10</v>
      </c>
      <c r="C599" t="s">
        <v>18</v>
      </c>
      <c r="D599">
        <v>13</v>
      </c>
      <c r="E599">
        <v>40</v>
      </c>
      <c r="F599">
        <v>0.09</v>
      </c>
      <c r="G599" t="s">
        <v>24</v>
      </c>
    </row>
    <row r="600" spans="1:7" x14ac:dyDescent="0.3">
      <c r="A600">
        <v>43306</v>
      </c>
      <c r="B600" t="s">
        <v>10</v>
      </c>
      <c r="C600" t="s">
        <v>11</v>
      </c>
      <c r="D600">
        <v>4</v>
      </c>
      <c r="E600">
        <v>40</v>
      </c>
      <c r="F600">
        <v>0.12</v>
      </c>
      <c r="G600" t="s">
        <v>25</v>
      </c>
    </row>
    <row r="601" spans="1:7" x14ac:dyDescent="0.3">
      <c r="A601">
        <v>43306</v>
      </c>
      <c r="B601" t="s">
        <v>23</v>
      </c>
      <c r="C601" t="s">
        <v>8</v>
      </c>
      <c r="D601">
        <v>22</v>
      </c>
      <c r="E601">
        <v>150</v>
      </c>
      <c r="F601">
        <v>0.05</v>
      </c>
      <c r="G601" t="s">
        <v>26</v>
      </c>
    </row>
    <row r="602" spans="1:7" x14ac:dyDescent="0.3">
      <c r="A602">
        <v>43306</v>
      </c>
      <c r="B602" t="s">
        <v>10</v>
      </c>
      <c r="C602" t="s">
        <v>21</v>
      </c>
      <c r="D602">
        <v>21</v>
      </c>
      <c r="E602">
        <v>40</v>
      </c>
      <c r="F602">
        <v>0.01</v>
      </c>
      <c r="G602" t="s">
        <v>22</v>
      </c>
    </row>
    <row r="603" spans="1:7" x14ac:dyDescent="0.3">
      <c r="A603">
        <v>43306</v>
      </c>
      <c r="B603" t="s">
        <v>20</v>
      </c>
      <c r="C603" t="s">
        <v>8</v>
      </c>
      <c r="D603">
        <v>16</v>
      </c>
      <c r="E603">
        <v>16</v>
      </c>
      <c r="F603">
        <v>0.03</v>
      </c>
      <c r="G603" t="s">
        <v>24</v>
      </c>
    </row>
    <row r="604" spans="1:7" x14ac:dyDescent="0.3">
      <c r="A604">
        <v>43306</v>
      </c>
      <c r="B604" t="s">
        <v>7</v>
      </c>
      <c r="C604" t="s">
        <v>18</v>
      </c>
      <c r="D604">
        <v>16</v>
      </c>
      <c r="E604">
        <v>80</v>
      </c>
      <c r="F604">
        <v>7.0000000000000007E-2</v>
      </c>
      <c r="G604" t="s">
        <v>25</v>
      </c>
    </row>
    <row r="605" spans="1:7" x14ac:dyDescent="0.3">
      <c r="A605">
        <v>43306</v>
      </c>
      <c r="B605" t="s">
        <v>7</v>
      </c>
      <c r="C605" t="s">
        <v>11</v>
      </c>
      <c r="D605">
        <v>15</v>
      </c>
      <c r="E605">
        <v>80</v>
      </c>
      <c r="F605">
        <v>0.12</v>
      </c>
      <c r="G605" t="s">
        <v>26</v>
      </c>
    </row>
    <row r="606" spans="1:7" x14ac:dyDescent="0.3">
      <c r="A606">
        <v>43306</v>
      </c>
      <c r="B606" t="s">
        <v>23</v>
      </c>
      <c r="C606" t="s">
        <v>8</v>
      </c>
      <c r="D606">
        <v>20</v>
      </c>
      <c r="E606">
        <v>150</v>
      </c>
      <c r="F606">
        <v>0.03</v>
      </c>
      <c r="G606" t="s">
        <v>22</v>
      </c>
    </row>
    <row r="607" spans="1:7" x14ac:dyDescent="0.3">
      <c r="A607">
        <v>43306</v>
      </c>
      <c r="B607" t="s">
        <v>10</v>
      </c>
      <c r="C607" t="s">
        <v>18</v>
      </c>
      <c r="D607">
        <v>13</v>
      </c>
      <c r="E607">
        <v>40</v>
      </c>
      <c r="F607">
        <v>0.06</v>
      </c>
      <c r="G607" t="s">
        <v>24</v>
      </c>
    </row>
    <row r="608" spans="1:7" x14ac:dyDescent="0.3">
      <c r="A608">
        <v>43306</v>
      </c>
      <c r="B608" t="s">
        <v>20</v>
      </c>
      <c r="C608" t="s">
        <v>21</v>
      </c>
      <c r="D608">
        <v>3</v>
      </c>
      <c r="E608">
        <v>16</v>
      </c>
      <c r="F608">
        <v>0.06</v>
      </c>
      <c r="G608" t="s">
        <v>25</v>
      </c>
    </row>
    <row r="609" spans="1:7" x14ac:dyDescent="0.3">
      <c r="A609">
        <v>43306</v>
      </c>
      <c r="B609" t="s">
        <v>20</v>
      </c>
      <c r="C609" t="s">
        <v>16</v>
      </c>
      <c r="D609">
        <v>11</v>
      </c>
      <c r="E609">
        <v>16</v>
      </c>
      <c r="F609">
        <v>0.04</v>
      </c>
      <c r="G609" t="s">
        <v>26</v>
      </c>
    </row>
    <row r="610" spans="1:7" x14ac:dyDescent="0.3">
      <c r="A610">
        <v>43307</v>
      </c>
      <c r="B610" t="s">
        <v>10</v>
      </c>
      <c r="C610" t="s">
        <v>21</v>
      </c>
      <c r="D610">
        <v>16</v>
      </c>
      <c r="E610">
        <v>40</v>
      </c>
      <c r="F610">
        <v>0.09</v>
      </c>
      <c r="G610" t="s">
        <v>22</v>
      </c>
    </row>
    <row r="611" spans="1:7" x14ac:dyDescent="0.3">
      <c r="A611">
        <v>43307</v>
      </c>
      <c r="B611" t="s">
        <v>10</v>
      </c>
      <c r="C611" t="s">
        <v>16</v>
      </c>
      <c r="D611">
        <v>4</v>
      </c>
      <c r="E611">
        <v>40</v>
      </c>
      <c r="F611">
        <v>0.06</v>
      </c>
      <c r="G611" t="s">
        <v>24</v>
      </c>
    </row>
    <row r="612" spans="1:7" x14ac:dyDescent="0.3">
      <c r="A612">
        <v>43307</v>
      </c>
      <c r="B612" t="s">
        <v>10</v>
      </c>
      <c r="C612" t="s">
        <v>16</v>
      </c>
      <c r="D612">
        <v>20</v>
      </c>
      <c r="E612">
        <v>40</v>
      </c>
      <c r="F612">
        <v>0.01</v>
      </c>
      <c r="G612" t="s">
        <v>25</v>
      </c>
    </row>
    <row r="613" spans="1:7" x14ac:dyDescent="0.3">
      <c r="A613">
        <v>43307</v>
      </c>
      <c r="B613" t="s">
        <v>10</v>
      </c>
      <c r="C613" t="s">
        <v>16</v>
      </c>
      <c r="D613">
        <v>4</v>
      </c>
      <c r="E613">
        <v>40</v>
      </c>
      <c r="F613">
        <v>0.1</v>
      </c>
      <c r="G613" t="s">
        <v>26</v>
      </c>
    </row>
    <row r="614" spans="1:7" x14ac:dyDescent="0.3">
      <c r="A614">
        <v>43307</v>
      </c>
      <c r="B614" t="s">
        <v>7</v>
      </c>
      <c r="C614" t="s">
        <v>11</v>
      </c>
      <c r="D614">
        <v>14</v>
      </c>
      <c r="E614">
        <v>80</v>
      </c>
      <c r="F614">
        <v>0.06</v>
      </c>
      <c r="G614" t="s">
        <v>22</v>
      </c>
    </row>
    <row r="615" spans="1:7" x14ac:dyDescent="0.3">
      <c r="A615">
        <v>43307</v>
      </c>
      <c r="B615" t="s">
        <v>23</v>
      </c>
      <c r="C615" t="s">
        <v>11</v>
      </c>
      <c r="D615">
        <v>15</v>
      </c>
      <c r="E615">
        <v>150</v>
      </c>
      <c r="F615">
        <v>0.02</v>
      </c>
      <c r="G615" t="s">
        <v>24</v>
      </c>
    </row>
    <row r="616" spans="1:7" x14ac:dyDescent="0.3">
      <c r="A616">
        <v>43307</v>
      </c>
      <c r="B616" t="s">
        <v>7</v>
      </c>
      <c r="C616" t="s">
        <v>16</v>
      </c>
      <c r="D616">
        <v>14</v>
      </c>
      <c r="E616">
        <v>80</v>
      </c>
      <c r="F616">
        <v>0.1</v>
      </c>
      <c r="G616" t="s">
        <v>25</v>
      </c>
    </row>
    <row r="617" spans="1:7" x14ac:dyDescent="0.3">
      <c r="A617">
        <v>43307</v>
      </c>
      <c r="B617" t="s">
        <v>23</v>
      </c>
      <c r="C617" t="s">
        <v>8</v>
      </c>
      <c r="D617">
        <v>20</v>
      </c>
      <c r="E617">
        <v>150</v>
      </c>
      <c r="F617">
        <v>0.04</v>
      </c>
      <c r="G617" t="s">
        <v>26</v>
      </c>
    </row>
    <row r="618" spans="1:7" x14ac:dyDescent="0.3">
      <c r="A618">
        <v>43307</v>
      </c>
      <c r="B618" t="s">
        <v>7</v>
      </c>
      <c r="C618" t="s">
        <v>21</v>
      </c>
      <c r="D618">
        <v>22</v>
      </c>
      <c r="E618">
        <v>80</v>
      </c>
      <c r="F618">
        <v>0.1</v>
      </c>
      <c r="G618" t="s">
        <v>22</v>
      </c>
    </row>
    <row r="619" spans="1:7" x14ac:dyDescent="0.3">
      <c r="A619">
        <v>43307</v>
      </c>
      <c r="B619" t="s">
        <v>13</v>
      </c>
      <c r="C619" t="s">
        <v>21</v>
      </c>
      <c r="D619">
        <v>20</v>
      </c>
      <c r="E619">
        <v>230</v>
      </c>
      <c r="F619">
        <v>0.09</v>
      </c>
      <c r="G619" t="s">
        <v>24</v>
      </c>
    </row>
    <row r="620" spans="1:7" x14ac:dyDescent="0.3">
      <c r="A620">
        <v>43307</v>
      </c>
      <c r="B620" t="s">
        <v>13</v>
      </c>
      <c r="C620" t="s">
        <v>16</v>
      </c>
      <c r="D620">
        <v>12</v>
      </c>
      <c r="E620">
        <v>230</v>
      </c>
      <c r="F620">
        <v>0.03</v>
      </c>
      <c r="G620" t="s">
        <v>25</v>
      </c>
    </row>
    <row r="621" spans="1:7" x14ac:dyDescent="0.3">
      <c r="A621">
        <v>43308</v>
      </c>
      <c r="B621" t="s">
        <v>7</v>
      </c>
      <c r="C621" t="s">
        <v>8</v>
      </c>
      <c r="D621">
        <v>21</v>
      </c>
      <c r="E621">
        <v>80</v>
      </c>
      <c r="F621">
        <v>0.04</v>
      </c>
      <c r="G621" t="s">
        <v>26</v>
      </c>
    </row>
    <row r="622" spans="1:7" x14ac:dyDescent="0.3">
      <c r="A622">
        <v>43308</v>
      </c>
      <c r="B622" t="s">
        <v>10</v>
      </c>
      <c r="C622" t="s">
        <v>11</v>
      </c>
      <c r="D622">
        <v>15</v>
      </c>
      <c r="E622">
        <v>40</v>
      </c>
      <c r="F622">
        <v>0.04</v>
      </c>
      <c r="G622" t="s">
        <v>22</v>
      </c>
    </row>
    <row r="623" spans="1:7" x14ac:dyDescent="0.3">
      <c r="A623">
        <v>43308</v>
      </c>
      <c r="B623" t="s">
        <v>7</v>
      </c>
      <c r="C623" t="s">
        <v>18</v>
      </c>
      <c r="D623">
        <v>16</v>
      </c>
      <c r="E623">
        <v>80</v>
      </c>
      <c r="F623">
        <v>0.1</v>
      </c>
      <c r="G623" t="s">
        <v>24</v>
      </c>
    </row>
    <row r="624" spans="1:7" x14ac:dyDescent="0.3">
      <c r="A624">
        <v>43308</v>
      </c>
      <c r="B624" t="s">
        <v>13</v>
      </c>
      <c r="C624" t="s">
        <v>21</v>
      </c>
      <c r="D624">
        <v>17</v>
      </c>
      <c r="E624">
        <v>230</v>
      </c>
      <c r="F624">
        <v>0.11</v>
      </c>
      <c r="G624" t="s">
        <v>25</v>
      </c>
    </row>
    <row r="625" spans="1:7" x14ac:dyDescent="0.3">
      <c r="A625">
        <v>43308</v>
      </c>
      <c r="B625" t="s">
        <v>13</v>
      </c>
      <c r="C625" t="s">
        <v>21</v>
      </c>
      <c r="D625">
        <v>5</v>
      </c>
      <c r="E625">
        <v>230</v>
      </c>
      <c r="F625">
        <v>0.12</v>
      </c>
      <c r="G625" t="s">
        <v>26</v>
      </c>
    </row>
    <row r="626" spans="1:7" x14ac:dyDescent="0.3">
      <c r="A626">
        <v>43308</v>
      </c>
      <c r="B626" t="s">
        <v>20</v>
      </c>
      <c r="C626" t="s">
        <v>8</v>
      </c>
      <c r="D626">
        <v>20</v>
      </c>
      <c r="E626">
        <v>16</v>
      </c>
      <c r="F626">
        <v>0.01</v>
      </c>
      <c r="G626" t="s">
        <v>22</v>
      </c>
    </row>
    <row r="627" spans="1:7" x14ac:dyDescent="0.3">
      <c r="A627">
        <v>43308</v>
      </c>
      <c r="B627" t="s">
        <v>13</v>
      </c>
      <c r="C627" t="s">
        <v>8</v>
      </c>
      <c r="D627">
        <v>5</v>
      </c>
      <c r="E627">
        <v>230</v>
      </c>
      <c r="F627">
        <v>0.1</v>
      </c>
      <c r="G627" t="s">
        <v>24</v>
      </c>
    </row>
    <row r="628" spans="1:7" x14ac:dyDescent="0.3">
      <c r="A628">
        <v>43308</v>
      </c>
      <c r="B628" t="s">
        <v>10</v>
      </c>
      <c r="C628" t="s">
        <v>11</v>
      </c>
      <c r="D628">
        <v>8</v>
      </c>
      <c r="E628">
        <v>40</v>
      </c>
      <c r="F628">
        <v>0.09</v>
      </c>
      <c r="G628" t="s">
        <v>25</v>
      </c>
    </row>
    <row r="629" spans="1:7" x14ac:dyDescent="0.3">
      <c r="A629">
        <v>43308</v>
      </c>
      <c r="B629" t="s">
        <v>20</v>
      </c>
      <c r="C629" t="s">
        <v>8</v>
      </c>
      <c r="D629">
        <v>7</v>
      </c>
      <c r="E629">
        <v>16</v>
      </c>
      <c r="F629">
        <v>0.02</v>
      </c>
      <c r="G629" t="s">
        <v>26</v>
      </c>
    </row>
    <row r="630" spans="1:7" x14ac:dyDescent="0.3">
      <c r="A630">
        <v>43308</v>
      </c>
      <c r="B630" t="s">
        <v>23</v>
      </c>
      <c r="C630" t="s">
        <v>18</v>
      </c>
      <c r="D630">
        <v>15</v>
      </c>
      <c r="E630">
        <v>150</v>
      </c>
      <c r="F630">
        <v>0.08</v>
      </c>
      <c r="G630" t="s">
        <v>22</v>
      </c>
    </row>
    <row r="631" spans="1:7" x14ac:dyDescent="0.3">
      <c r="A631">
        <v>43308</v>
      </c>
      <c r="B631" t="s">
        <v>13</v>
      </c>
      <c r="C631" t="s">
        <v>21</v>
      </c>
      <c r="D631">
        <v>20</v>
      </c>
      <c r="E631">
        <v>230</v>
      </c>
      <c r="F631">
        <v>0.11</v>
      </c>
      <c r="G631" t="s">
        <v>24</v>
      </c>
    </row>
    <row r="632" spans="1:7" x14ac:dyDescent="0.3">
      <c r="A632">
        <v>43308</v>
      </c>
      <c r="B632" t="s">
        <v>20</v>
      </c>
      <c r="C632" t="s">
        <v>11</v>
      </c>
      <c r="D632">
        <v>4</v>
      </c>
      <c r="E632">
        <v>16</v>
      </c>
      <c r="F632">
        <v>0.09</v>
      </c>
      <c r="G632" t="s">
        <v>25</v>
      </c>
    </row>
    <row r="633" spans="1:7" x14ac:dyDescent="0.3">
      <c r="A633">
        <v>43308</v>
      </c>
      <c r="B633" t="s">
        <v>10</v>
      </c>
      <c r="C633" t="s">
        <v>18</v>
      </c>
      <c r="D633">
        <v>11</v>
      </c>
      <c r="E633">
        <v>40</v>
      </c>
      <c r="F633">
        <v>0.09</v>
      </c>
      <c r="G633" t="s">
        <v>26</v>
      </c>
    </row>
    <row r="634" spans="1:7" x14ac:dyDescent="0.3">
      <c r="A634">
        <v>43308</v>
      </c>
      <c r="B634" t="s">
        <v>23</v>
      </c>
      <c r="C634" t="s">
        <v>16</v>
      </c>
      <c r="D634">
        <v>15</v>
      </c>
      <c r="E634">
        <v>150</v>
      </c>
      <c r="F634">
        <v>0.05</v>
      </c>
      <c r="G634" t="s">
        <v>22</v>
      </c>
    </row>
    <row r="635" spans="1:7" x14ac:dyDescent="0.3">
      <c r="A635">
        <v>43308</v>
      </c>
      <c r="B635" t="s">
        <v>13</v>
      </c>
      <c r="C635" t="s">
        <v>16</v>
      </c>
      <c r="D635">
        <v>5</v>
      </c>
      <c r="E635">
        <v>230</v>
      </c>
      <c r="F635">
        <v>0.01</v>
      </c>
      <c r="G635" t="s">
        <v>24</v>
      </c>
    </row>
    <row r="636" spans="1:7" x14ac:dyDescent="0.3">
      <c r="A636">
        <v>43308</v>
      </c>
      <c r="B636" t="s">
        <v>13</v>
      </c>
      <c r="C636" t="s">
        <v>16</v>
      </c>
      <c r="D636">
        <v>14</v>
      </c>
      <c r="E636">
        <v>230</v>
      </c>
      <c r="F636">
        <v>0.03</v>
      </c>
      <c r="G636" t="s">
        <v>25</v>
      </c>
    </row>
    <row r="637" spans="1:7" x14ac:dyDescent="0.3">
      <c r="A637">
        <v>43308</v>
      </c>
      <c r="B637" t="s">
        <v>10</v>
      </c>
      <c r="C637" t="s">
        <v>21</v>
      </c>
      <c r="D637">
        <v>23</v>
      </c>
      <c r="E637">
        <v>40</v>
      </c>
      <c r="F637">
        <v>0.05</v>
      </c>
      <c r="G637" t="s">
        <v>26</v>
      </c>
    </row>
    <row r="638" spans="1:7" x14ac:dyDescent="0.3">
      <c r="A638">
        <v>43308</v>
      </c>
      <c r="B638" t="s">
        <v>7</v>
      </c>
      <c r="C638" t="s">
        <v>18</v>
      </c>
      <c r="D638">
        <v>22</v>
      </c>
      <c r="E638">
        <v>80</v>
      </c>
      <c r="F638">
        <v>0.03</v>
      </c>
      <c r="G638" t="s">
        <v>22</v>
      </c>
    </row>
    <row r="639" spans="1:7" x14ac:dyDescent="0.3">
      <c r="A639">
        <v>43309</v>
      </c>
      <c r="B639" t="s">
        <v>13</v>
      </c>
      <c r="C639" t="s">
        <v>16</v>
      </c>
      <c r="D639">
        <v>20</v>
      </c>
      <c r="E639">
        <v>230</v>
      </c>
      <c r="F639">
        <v>0.06</v>
      </c>
      <c r="G639" t="s">
        <v>24</v>
      </c>
    </row>
    <row r="640" spans="1:7" x14ac:dyDescent="0.3">
      <c r="A640">
        <v>43309</v>
      </c>
      <c r="B640" t="s">
        <v>13</v>
      </c>
      <c r="C640" t="s">
        <v>11</v>
      </c>
      <c r="D640">
        <v>15</v>
      </c>
      <c r="E640">
        <v>230</v>
      </c>
      <c r="F640">
        <v>0.09</v>
      </c>
      <c r="G640" t="s">
        <v>25</v>
      </c>
    </row>
    <row r="641" spans="1:7" x14ac:dyDescent="0.3">
      <c r="A641">
        <v>43309</v>
      </c>
      <c r="B641" t="s">
        <v>23</v>
      </c>
      <c r="C641" t="s">
        <v>16</v>
      </c>
      <c r="D641">
        <v>18</v>
      </c>
      <c r="E641">
        <v>150</v>
      </c>
      <c r="F641">
        <v>0.06</v>
      </c>
      <c r="G641" t="s">
        <v>26</v>
      </c>
    </row>
    <row r="642" spans="1:7" x14ac:dyDescent="0.3">
      <c r="A642">
        <v>43309</v>
      </c>
      <c r="B642" t="s">
        <v>13</v>
      </c>
      <c r="C642" t="s">
        <v>8</v>
      </c>
      <c r="D642">
        <v>3</v>
      </c>
      <c r="E642">
        <v>230</v>
      </c>
      <c r="F642">
        <v>0.11</v>
      </c>
      <c r="G642" t="s">
        <v>22</v>
      </c>
    </row>
    <row r="643" spans="1:7" x14ac:dyDescent="0.3">
      <c r="A643">
        <v>43309</v>
      </c>
      <c r="B643" t="s">
        <v>23</v>
      </c>
      <c r="C643" t="s">
        <v>21</v>
      </c>
      <c r="D643">
        <v>11</v>
      </c>
      <c r="E643">
        <v>150</v>
      </c>
      <c r="F643">
        <v>0.09</v>
      </c>
      <c r="G643" t="s">
        <v>24</v>
      </c>
    </row>
    <row r="644" spans="1:7" x14ac:dyDescent="0.3">
      <c r="A644">
        <v>43309</v>
      </c>
      <c r="B644" t="s">
        <v>13</v>
      </c>
      <c r="C644" t="s">
        <v>8</v>
      </c>
      <c r="D644">
        <v>11</v>
      </c>
      <c r="E644">
        <v>230</v>
      </c>
      <c r="F644">
        <v>0.02</v>
      </c>
      <c r="G644" t="s">
        <v>25</v>
      </c>
    </row>
    <row r="645" spans="1:7" x14ac:dyDescent="0.3">
      <c r="A645">
        <v>43309</v>
      </c>
      <c r="B645" t="s">
        <v>13</v>
      </c>
      <c r="C645" t="s">
        <v>21</v>
      </c>
      <c r="D645">
        <v>13</v>
      </c>
      <c r="E645">
        <v>230</v>
      </c>
      <c r="F645">
        <v>0.06</v>
      </c>
      <c r="G645" t="s">
        <v>26</v>
      </c>
    </row>
    <row r="646" spans="1:7" x14ac:dyDescent="0.3">
      <c r="A646">
        <v>43310</v>
      </c>
      <c r="B646" t="s">
        <v>7</v>
      </c>
      <c r="C646" t="s">
        <v>18</v>
      </c>
      <c r="D646">
        <v>11</v>
      </c>
      <c r="E646">
        <v>80</v>
      </c>
      <c r="F646">
        <v>0.01</v>
      </c>
      <c r="G646" t="s">
        <v>22</v>
      </c>
    </row>
    <row r="647" spans="1:7" x14ac:dyDescent="0.3">
      <c r="A647">
        <v>43310</v>
      </c>
      <c r="B647" t="s">
        <v>7</v>
      </c>
      <c r="C647" t="s">
        <v>21</v>
      </c>
      <c r="D647">
        <v>17</v>
      </c>
      <c r="E647">
        <v>80</v>
      </c>
      <c r="F647">
        <v>7.0000000000000007E-2</v>
      </c>
      <c r="G647" t="s">
        <v>24</v>
      </c>
    </row>
    <row r="648" spans="1:7" x14ac:dyDescent="0.3">
      <c r="A648">
        <v>43310</v>
      </c>
      <c r="B648" t="s">
        <v>23</v>
      </c>
      <c r="C648" t="s">
        <v>21</v>
      </c>
      <c r="D648">
        <v>15</v>
      </c>
      <c r="E648">
        <v>150</v>
      </c>
      <c r="F648">
        <v>7.0000000000000007E-2</v>
      </c>
      <c r="G648" t="s">
        <v>25</v>
      </c>
    </row>
    <row r="649" spans="1:7" x14ac:dyDescent="0.3">
      <c r="A649">
        <v>43310</v>
      </c>
      <c r="B649" t="s">
        <v>20</v>
      </c>
      <c r="C649" t="s">
        <v>21</v>
      </c>
      <c r="D649">
        <v>14</v>
      </c>
      <c r="E649">
        <v>16</v>
      </c>
      <c r="F649">
        <v>0.06</v>
      </c>
      <c r="G649" t="s">
        <v>26</v>
      </c>
    </row>
    <row r="650" spans="1:7" x14ac:dyDescent="0.3">
      <c r="A650">
        <v>43310</v>
      </c>
      <c r="B650" t="s">
        <v>20</v>
      </c>
      <c r="C650" t="s">
        <v>11</v>
      </c>
      <c r="D650">
        <v>4</v>
      </c>
      <c r="E650">
        <v>16</v>
      </c>
      <c r="F650">
        <v>7.0000000000000007E-2</v>
      </c>
      <c r="G650" t="s">
        <v>22</v>
      </c>
    </row>
    <row r="651" spans="1:7" x14ac:dyDescent="0.3">
      <c r="A651">
        <v>43310</v>
      </c>
      <c r="B651" t="s">
        <v>23</v>
      </c>
      <c r="C651" t="s">
        <v>21</v>
      </c>
      <c r="D651">
        <v>23</v>
      </c>
      <c r="E651">
        <v>150</v>
      </c>
      <c r="F651">
        <v>0.08</v>
      </c>
      <c r="G651" t="s">
        <v>24</v>
      </c>
    </row>
    <row r="652" spans="1:7" x14ac:dyDescent="0.3">
      <c r="A652">
        <v>43310</v>
      </c>
      <c r="B652" t="s">
        <v>7</v>
      </c>
      <c r="C652" t="s">
        <v>16</v>
      </c>
      <c r="D652">
        <v>10</v>
      </c>
      <c r="E652">
        <v>80</v>
      </c>
      <c r="F652">
        <v>0.11</v>
      </c>
      <c r="G652" t="s">
        <v>25</v>
      </c>
    </row>
    <row r="653" spans="1:7" x14ac:dyDescent="0.3">
      <c r="A653">
        <v>43310</v>
      </c>
      <c r="B653" t="s">
        <v>13</v>
      </c>
      <c r="C653" t="s">
        <v>16</v>
      </c>
      <c r="D653">
        <v>7</v>
      </c>
      <c r="E653">
        <v>230</v>
      </c>
      <c r="F653">
        <v>0.01</v>
      </c>
      <c r="G653" t="s">
        <v>26</v>
      </c>
    </row>
    <row r="654" spans="1:7" x14ac:dyDescent="0.3">
      <c r="A654">
        <v>43310</v>
      </c>
      <c r="B654" t="s">
        <v>13</v>
      </c>
      <c r="C654" t="s">
        <v>8</v>
      </c>
      <c r="D654">
        <v>16</v>
      </c>
      <c r="E654">
        <v>230</v>
      </c>
      <c r="F654">
        <v>7.0000000000000007E-2</v>
      </c>
      <c r="G654" t="s">
        <v>22</v>
      </c>
    </row>
    <row r="655" spans="1:7" x14ac:dyDescent="0.3">
      <c r="A655">
        <v>43310</v>
      </c>
      <c r="B655" t="s">
        <v>20</v>
      </c>
      <c r="C655" t="s">
        <v>21</v>
      </c>
      <c r="D655">
        <v>17</v>
      </c>
      <c r="E655">
        <v>16</v>
      </c>
      <c r="F655">
        <v>0.08</v>
      </c>
      <c r="G655" t="s">
        <v>24</v>
      </c>
    </row>
    <row r="656" spans="1:7" x14ac:dyDescent="0.3">
      <c r="A656">
        <v>43311</v>
      </c>
      <c r="B656" t="s">
        <v>7</v>
      </c>
      <c r="C656" t="s">
        <v>21</v>
      </c>
      <c r="D656">
        <v>6</v>
      </c>
      <c r="E656">
        <v>80</v>
      </c>
      <c r="F656">
        <v>0.09</v>
      </c>
      <c r="G656" t="s">
        <v>25</v>
      </c>
    </row>
    <row r="657" spans="1:7" x14ac:dyDescent="0.3">
      <c r="A657">
        <v>43311</v>
      </c>
      <c r="B657" t="s">
        <v>23</v>
      </c>
      <c r="C657" t="s">
        <v>16</v>
      </c>
      <c r="D657">
        <v>22</v>
      </c>
      <c r="E657">
        <v>150</v>
      </c>
      <c r="F657">
        <v>0.04</v>
      </c>
      <c r="G657" t="s">
        <v>26</v>
      </c>
    </row>
    <row r="658" spans="1:7" x14ac:dyDescent="0.3">
      <c r="A658">
        <v>43311</v>
      </c>
      <c r="B658" t="s">
        <v>10</v>
      </c>
      <c r="C658" t="s">
        <v>21</v>
      </c>
      <c r="D658">
        <v>20</v>
      </c>
      <c r="E658">
        <v>40</v>
      </c>
      <c r="F658">
        <v>0.03</v>
      </c>
      <c r="G658" t="s">
        <v>22</v>
      </c>
    </row>
    <row r="659" spans="1:7" x14ac:dyDescent="0.3">
      <c r="A659">
        <v>43311</v>
      </c>
      <c r="B659" t="s">
        <v>23</v>
      </c>
      <c r="C659" t="s">
        <v>11</v>
      </c>
      <c r="D659">
        <v>16</v>
      </c>
      <c r="E659">
        <v>150</v>
      </c>
      <c r="F659">
        <v>0.08</v>
      </c>
      <c r="G659" t="s">
        <v>24</v>
      </c>
    </row>
    <row r="660" spans="1:7" x14ac:dyDescent="0.3">
      <c r="A660">
        <v>43311</v>
      </c>
      <c r="B660" t="s">
        <v>7</v>
      </c>
      <c r="C660" t="s">
        <v>11</v>
      </c>
      <c r="D660">
        <v>5</v>
      </c>
      <c r="E660">
        <v>80</v>
      </c>
      <c r="F660">
        <v>7.0000000000000007E-2</v>
      </c>
      <c r="G660" t="s">
        <v>25</v>
      </c>
    </row>
    <row r="661" spans="1:7" x14ac:dyDescent="0.3">
      <c r="A661">
        <v>43311</v>
      </c>
      <c r="B661" t="s">
        <v>23</v>
      </c>
      <c r="C661" t="s">
        <v>18</v>
      </c>
      <c r="D661">
        <v>6</v>
      </c>
      <c r="E661">
        <v>150</v>
      </c>
      <c r="F661">
        <v>0.03</v>
      </c>
      <c r="G661" t="s">
        <v>26</v>
      </c>
    </row>
    <row r="662" spans="1:7" x14ac:dyDescent="0.3">
      <c r="A662">
        <v>43312</v>
      </c>
      <c r="B662" t="s">
        <v>7</v>
      </c>
      <c r="C662" t="s">
        <v>11</v>
      </c>
      <c r="D662">
        <v>9</v>
      </c>
      <c r="E662">
        <v>80</v>
      </c>
      <c r="F662">
        <v>0.03</v>
      </c>
      <c r="G662" t="s">
        <v>22</v>
      </c>
    </row>
    <row r="663" spans="1:7" x14ac:dyDescent="0.3">
      <c r="A663">
        <v>43312</v>
      </c>
      <c r="B663" t="s">
        <v>7</v>
      </c>
      <c r="C663" t="s">
        <v>8</v>
      </c>
      <c r="D663">
        <v>8</v>
      </c>
      <c r="E663">
        <v>80</v>
      </c>
      <c r="F663">
        <v>0.08</v>
      </c>
      <c r="G663" t="s">
        <v>24</v>
      </c>
    </row>
    <row r="664" spans="1:7" x14ac:dyDescent="0.3">
      <c r="A664">
        <v>43312</v>
      </c>
      <c r="B664" t="s">
        <v>13</v>
      </c>
      <c r="C664" t="s">
        <v>18</v>
      </c>
      <c r="D664">
        <v>8</v>
      </c>
      <c r="E664">
        <v>230</v>
      </c>
      <c r="F664">
        <v>0.01</v>
      </c>
      <c r="G664" t="s">
        <v>25</v>
      </c>
    </row>
    <row r="665" spans="1:7" x14ac:dyDescent="0.3">
      <c r="A665">
        <v>43312</v>
      </c>
      <c r="B665" t="s">
        <v>20</v>
      </c>
      <c r="C665" t="s">
        <v>21</v>
      </c>
      <c r="D665">
        <v>12</v>
      </c>
      <c r="E665">
        <v>16</v>
      </c>
      <c r="F665">
        <v>0.04</v>
      </c>
      <c r="G665" t="s">
        <v>26</v>
      </c>
    </row>
    <row r="666" spans="1:7" x14ac:dyDescent="0.3">
      <c r="A666">
        <v>43312</v>
      </c>
      <c r="B666" t="s">
        <v>20</v>
      </c>
      <c r="C666" t="s">
        <v>18</v>
      </c>
      <c r="D666">
        <v>18</v>
      </c>
      <c r="E666">
        <v>16</v>
      </c>
      <c r="F666">
        <v>0.04</v>
      </c>
      <c r="G666" t="s">
        <v>22</v>
      </c>
    </row>
    <row r="667" spans="1:7" x14ac:dyDescent="0.3">
      <c r="A667">
        <v>43282</v>
      </c>
      <c r="B667" t="s">
        <v>20</v>
      </c>
      <c r="C667" t="s">
        <v>18</v>
      </c>
      <c r="D667">
        <v>10</v>
      </c>
      <c r="E667">
        <v>16</v>
      </c>
      <c r="F667">
        <v>0.01</v>
      </c>
      <c r="G667" t="s">
        <v>24</v>
      </c>
    </row>
    <row r="668" spans="1:7" x14ac:dyDescent="0.3">
      <c r="A668">
        <v>43282</v>
      </c>
      <c r="B668" t="s">
        <v>20</v>
      </c>
      <c r="C668" t="s">
        <v>18</v>
      </c>
      <c r="D668">
        <v>14</v>
      </c>
      <c r="E668">
        <v>16</v>
      </c>
      <c r="F668">
        <v>0.12</v>
      </c>
      <c r="G668" t="s">
        <v>25</v>
      </c>
    </row>
    <row r="669" spans="1:7" x14ac:dyDescent="0.3">
      <c r="A669">
        <v>43282</v>
      </c>
      <c r="B669" t="s">
        <v>10</v>
      </c>
      <c r="C669" t="s">
        <v>16</v>
      </c>
      <c r="D669">
        <v>6</v>
      </c>
      <c r="E669">
        <v>40</v>
      </c>
      <c r="F669">
        <v>0.06</v>
      </c>
      <c r="G669" t="s">
        <v>26</v>
      </c>
    </row>
    <row r="670" spans="1:7" x14ac:dyDescent="0.3">
      <c r="A670">
        <v>43282</v>
      </c>
      <c r="B670" t="s">
        <v>10</v>
      </c>
      <c r="C670" t="s">
        <v>18</v>
      </c>
      <c r="D670">
        <v>13</v>
      </c>
      <c r="E670">
        <v>40</v>
      </c>
      <c r="F670">
        <v>0.09</v>
      </c>
      <c r="G670" t="s">
        <v>22</v>
      </c>
    </row>
    <row r="671" spans="1:7" x14ac:dyDescent="0.3">
      <c r="A671">
        <v>43282</v>
      </c>
      <c r="B671" t="s">
        <v>20</v>
      </c>
      <c r="C671" t="s">
        <v>18</v>
      </c>
      <c r="D671">
        <v>10</v>
      </c>
      <c r="E671">
        <v>16</v>
      </c>
      <c r="F671">
        <v>0.04</v>
      </c>
      <c r="G671" t="s">
        <v>24</v>
      </c>
    </row>
    <row r="672" spans="1:7" x14ac:dyDescent="0.3">
      <c r="A672">
        <v>43282</v>
      </c>
      <c r="B672" t="s">
        <v>7</v>
      </c>
      <c r="C672" t="s">
        <v>11</v>
      </c>
      <c r="D672">
        <v>14</v>
      </c>
      <c r="E672">
        <v>80</v>
      </c>
      <c r="F672">
        <v>0.11</v>
      </c>
      <c r="G672" t="s">
        <v>25</v>
      </c>
    </row>
    <row r="673" spans="1:7" x14ac:dyDescent="0.3">
      <c r="A673">
        <v>43282</v>
      </c>
      <c r="B673" t="s">
        <v>10</v>
      </c>
      <c r="C673" t="s">
        <v>11</v>
      </c>
      <c r="D673">
        <v>4</v>
      </c>
      <c r="E673">
        <v>40</v>
      </c>
      <c r="F673">
        <v>0.06</v>
      </c>
      <c r="G673" t="s">
        <v>26</v>
      </c>
    </row>
    <row r="674" spans="1:7" x14ac:dyDescent="0.3">
      <c r="A674">
        <v>43282</v>
      </c>
      <c r="B674" t="s">
        <v>10</v>
      </c>
      <c r="C674" t="s">
        <v>16</v>
      </c>
      <c r="D674">
        <v>11</v>
      </c>
      <c r="E674">
        <v>40</v>
      </c>
      <c r="F674">
        <v>0.05</v>
      </c>
      <c r="G674" t="s">
        <v>22</v>
      </c>
    </row>
    <row r="675" spans="1:7" x14ac:dyDescent="0.3">
      <c r="A675">
        <v>43282</v>
      </c>
      <c r="B675" t="s">
        <v>20</v>
      </c>
      <c r="C675" t="s">
        <v>16</v>
      </c>
      <c r="D675">
        <v>14</v>
      </c>
      <c r="E675">
        <v>16</v>
      </c>
      <c r="F675">
        <v>0.01</v>
      </c>
      <c r="G675" t="s">
        <v>24</v>
      </c>
    </row>
    <row r="676" spans="1:7" x14ac:dyDescent="0.3">
      <c r="A676">
        <v>43282</v>
      </c>
      <c r="B676" t="s">
        <v>23</v>
      </c>
      <c r="C676" t="s">
        <v>8</v>
      </c>
      <c r="D676">
        <v>20</v>
      </c>
      <c r="E676">
        <v>150</v>
      </c>
      <c r="F676">
        <v>0.04</v>
      </c>
      <c r="G676" t="s">
        <v>25</v>
      </c>
    </row>
    <row r="677" spans="1:7" x14ac:dyDescent="0.3">
      <c r="A677">
        <v>43282</v>
      </c>
      <c r="B677" t="s">
        <v>10</v>
      </c>
      <c r="C677" t="s">
        <v>18</v>
      </c>
      <c r="D677">
        <v>9</v>
      </c>
      <c r="E677">
        <v>40</v>
      </c>
      <c r="F677">
        <v>0.06</v>
      </c>
      <c r="G677" t="s">
        <v>26</v>
      </c>
    </row>
    <row r="678" spans="1:7" x14ac:dyDescent="0.3">
      <c r="A678">
        <v>43282</v>
      </c>
      <c r="B678" t="s">
        <v>23</v>
      </c>
      <c r="C678" t="s">
        <v>16</v>
      </c>
      <c r="D678">
        <v>18</v>
      </c>
      <c r="E678">
        <v>150</v>
      </c>
      <c r="F678">
        <v>0.06</v>
      </c>
      <c r="G678" t="s">
        <v>22</v>
      </c>
    </row>
    <row r="679" spans="1:7" x14ac:dyDescent="0.3">
      <c r="A679">
        <v>43282</v>
      </c>
      <c r="B679" t="s">
        <v>13</v>
      </c>
      <c r="C679" t="s">
        <v>21</v>
      </c>
      <c r="D679">
        <v>17</v>
      </c>
      <c r="E679">
        <v>230</v>
      </c>
      <c r="F679">
        <v>0.11</v>
      </c>
      <c r="G679" t="s">
        <v>24</v>
      </c>
    </row>
    <row r="680" spans="1:7" x14ac:dyDescent="0.3">
      <c r="A680">
        <v>43283</v>
      </c>
      <c r="B680" t="s">
        <v>10</v>
      </c>
      <c r="C680" t="s">
        <v>8</v>
      </c>
      <c r="D680">
        <v>20</v>
      </c>
      <c r="E680">
        <v>40</v>
      </c>
      <c r="F680">
        <v>0.04</v>
      </c>
      <c r="G680" t="s">
        <v>25</v>
      </c>
    </row>
    <row r="681" spans="1:7" x14ac:dyDescent="0.3">
      <c r="A681">
        <v>43283</v>
      </c>
      <c r="B681" t="s">
        <v>10</v>
      </c>
      <c r="C681" t="s">
        <v>8</v>
      </c>
      <c r="D681">
        <v>23</v>
      </c>
      <c r="E681">
        <v>40</v>
      </c>
      <c r="F681">
        <v>0.03</v>
      </c>
      <c r="G681" t="s">
        <v>26</v>
      </c>
    </row>
    <row r="682" spans="1:7" x14ac:dyDescent="0.3">
      <c r="A682">
        <v>43283</v>
      </c>
      <c r="B682" t="s">
        <v>13</v>
      </c>
      <c r="C682" t="s">
        <v>21</v>
      </c>
      <c r="D682">
        <v>21</v>
      </c>
      <c r="E682">
        <v>230</v>
      </c>
      <c r="F682">
        <v>0.05</v>
      </c>
      <c r="G682" t="s">
        <v>22</v>
      </c>
    </row>
    <row r="683" spans="1:7" x14ac:dyDescent="0.3">
      <c r="A683">
        <v>43283</v>
      </c>
      <c r="B683" t="s">
        <v>7</v>
      </c>
      <c r="C683" t="s">
        <v>16</v>
      </c>
      <c r="D683">
        <v>6</v>
      </c>
      <c r="E683">
        <v>80</v>
      </c>
      <c r="F683">
        <v>0.09</v>
      </c>
      <c r="G683" t="s">
        <v>24</v>
      </c>
    </row>
    <row r="684" spans="1:7" x14ac:dyDescent="0.3">
      <c r="A684">
        <v>43283</v>
      </c>
      <c r="B684" t="s">
        <v>20</v>
      </c>
      <c r="C684" t="s">
        <v>8</v>
      </c>
      <c r="D684">
        <v>20</v>
      </c>
      <c r="E684">
        <v>16</v>
      </c>
      <c r="F684">
        <v>0.01</v>
      </c>
      <c r="G684" t="s">
        <v>25</v>
      </c>
    </row>
    <row r="685" spans="1:7" x14ac:dyDescent="0.3">
      <c r="A685">
        <v>43283</v>
      </c>
      <c r="B685" t="s">
        <v>10</v>
      </c>
      <c r="C685" t="s">
        <v>11</v>
      </c>
      <c r="D685">
        <v>8</v>
      </c>
      <c r="E685">
        <v>40</v>
      </c>
      <c r="F685">
        <v>0.09</v>
      </c>
      <c r="G685" t="s">
        <v>26</v>
      </c>
    </row>
    <row r="686" spans="1:7" x14ac:dyDescent="0.3">
      <c r="A686">
        <v>43283</v>
      </c>
      <c r="B686" t="s">
        <v>13</v>
      </c>
      <c r="C686" t="s">
        <v>11</v>
      </c>
      <c r="D686">
        <v>15</v>
      </c>
      <c r="E686">
        <v>230</v>
      </c>
      <c r="F686">
        <v>0.09</v>
      </c>
      <c r="G686" t="s">
        <v>22</v>
      </c>
    </row>
    <row r="687" spans="1:7" x14ac:dyDescent="0.3">
      <c r="A687">
        <v>43284</v>
      </c>
      <c r="B687" t="s">
        <v>7</v>
      </c>
      <c r="C687" t="s">
        <v>18</v>
      </c>
      <c r="D687">
        <v>21</v>
      </c>
      <c r="E687">
        <v>80</v>
      </c>
      <c r="F687">
        <v>0.02</v>
      </c>
      <c r="G687" t="s">
        <v>24</v>
      </c>
    </row>
    <row r="688" spans="1:7" x14ac:dyDescent="0.3">
      <c r="A688">
        <v>43284</v>
      </c>
      <c r="B688" t="s">
        <v>7</v>
      </c>
      <c r="C688" t="s">
        <v>18</v>
      </c>
      <c r="D688">
        <v>19</v>
      </c>
      <c r="E688">
        <v>80</v>
      </c>
      <c r="F688">
        <v>0.02</v>
      </c>
      <c r="G688" t="s">
        <v>25</v>
      </c>
    </row>
    <row r="689" spans="1:7" x14ac:dyDescent="0.3">
      <c r="A689">
        <v>43284</v>
      </c>
      <c r="B689" t="s">
        <v>20</v>
      </c>
      <c r="C689" t="s">
        <v>8</v>
      </c>
      <c r="D689">
        <v>7</v>
      </c>
      <c r="E689">
        <v>16</v>
      </c>
      <c r="F689">
        <v>0.08</v>
      </c>
      <c r="G689" t="s">
        <v>26</v>
      </c>
    </row>
    <row r="690" spans="1:7" x14ac:dyDescent="0.3">
      <c r="A690">
        <v>43284</v>
      </c>
      <c r="B690" t="s">
        <v>10</v>
      </c>
      <c r="C690" t="s">
        <v>21</v>
      </c>
      <c r="D690">
        <v>11</v>
      </c>
      <c r="E690">
        <v>40</v>
      </c>
      <c r="F690">
        <v>0.05</v>
      </c>
      <c r="G690" t="s">
        <v>22</v>
      </c>
    </row>
    <row r="691" spans="1:7" x14ac:dyDescent="0.3">
      <c r="A691">
        <v>43284</v>
      </c>
      <c r="B691" t="s">
        <v>13</v>
      </c>
      <c r="C691" t="s">
        <v>18</v>
      </c>
      <c r="D691">
        <v>8</v>
      </c>
      <c r="E691">
        <v>230</v>
      </c>
      <c r="F691">
        <v>0.05</v>
      </c>
      <c r="G691" t="s">
        <v>24</v>
      </c>
    </row>
    <row r="692" spans="1:7" x14ac:dyDescent="0.3">
      <c r="A692">
        <v>43284</v>
      </c>
      <c r="B692" t="s">
        <v>7</v>
      </c>
      <c r="C692" t="s">
        <v>8</v>
      </c>
      <c r="D692">
        <v>18</v>
      </c>
      <c r="E692">
        <v>80</v>
      </c>
      <c r="F692">
        <v>0.02</v>
      </c>
      <c r="G692" t="s">
        <v>25</v>
      </c>
    </row>
    <row r="693" spans="1:7" x14ac:dyDescent="0.3">
      <c r="A693">
        <v>43284</v>
      </c>
      <c r="B693" t="s">
        <v>10</v>
      </c>
      <c r="C693" t="s">
        <v>8</v>
      </c>
      <c r="D693">
        <v>7</v>
      </c>
      <c r="E693">
        <v>40</v>
      </c>
      <c r="F693">
        <v>0.1</v>
      </c>
      <c r="G693" t="s">
        <v>26</v>
      </c>
    </row>
    <row r="694" spans="1:7" x14ac:dyDescent="0.3">
      <c r="A694">
        <v>43285</v>
      </c>
      <c r="B694" t="s">
        <v>20</v>
      </c>
      <c r="C694" t="s">
        <v>8</v>
      </c>
      <c r="D694">
        <v>16</v>
      </c>
      <c r="E694">
        <v>16</v>
      </c>
      <c r="F694">
        <v>0.03</v>
      </c>
      <c r="G694" t="s">
        <v>22</v>
      </c>
    </row>
    <row r="695" spans="1:7" x14ac:dyDescent="0.3">
      <c r="A695">
        <v>43285</v>
      </c>
      <c r="B695" t="s">
        <v>7</v>
      </c>
      <c r="C695" t="s">
        <v>8</v>
      </c>
      <c r="D695">
        <v>8</v>
      </c>
      <c r="E695">
        <v>80</v>
      </c>
      <c r="F695">
        <v>0.08</v>
      </c>
      <c r="G695" t="s">
        <v>24</v>
      </c>
    </row>
    <row r="696" spans="1:7" x14ac:dyDescent="0.3">
      <c r="A696">
        <v>43285</v>
      </c>
      <c r="B696" t="s">
        <v>13</v>
      </c>
      <c r="C696" t="s">
        <v>21</v>
      </c>
      <c r="D696">
        <v>22</v>
      </c>
      <c r="E696">
        <v>230</v>
      </c>
      <c r="F696">
        <v>0.1</v>
      </c>
      <c r="G696" t="s">
        <v>25</v>
      </c>
    </row>
    <row r="697" spans="1:7" x14ac:dyDescent="0.3">
      <c r="A697">
        <v>43285</v>
      </c>
      <c r="B697" t="s">
        <v>13</v>
      </c>
      <c r="C697" t="s">
        <v>21</v>
      </c>
      <c r="D697">
        <v>3</v>
      </c>
      <c r="E697">
        <v>230</v>
      </c>
      <c r="F697">
        <v>0.1</v>
      </c>
      <c r="G697" t="s">
        <v>26</v>
      </c>
    </row>
    <row r="698" spans="1:7" x14ac:dyDescent="0.3">
      <c r="A698">
        <v>43285</v>
      </c>
      <c r="B698" t="s">
        <v>13</v>
      </c>
      <c r="C698" t="s">
        <v>21</v>
      </c>
      <c r="D698">
        <v>20</v>
      </c>
      <c r="E698">
        <v>230</v>
      </c>
      <c r="F698">
        <v>0.11</v>
      </c>
      <c r="G698" t="s">
        <v>22</v>
      </c>
    </row>
    <row r="699" spans="1:7" x14ac:dyDescent="0.3">
      <c r="A699">
        <v>43285</v>
      </c>
      <c r="B699" t="s">
        <v>20</v>
      </c>
      <c r="C699" t="s">
        <v>16</v>
      </c>
      <c r="D699">
        <v>12</v>
      </c>
      <c r="E699">
        <v>16</v>
      </c>
      <c r="F699">
        <v>0.03</v>
      </c>
      <c r="G699" t="s">
        <v>24</v>
      </c>
    </row>
    <row r="700" spans="1:7" x14ac:dyDescent="0.3">
      <c r="A700">
        <v>43285</v>
      </c>
      <c r="B700" t="s">
        <v>10</v>
      </c>
      <c r="C700" t="s">
        <v>21</v>
      </c>
      <c r="D700">
        <v>20</v>
      </c>
      <c r="E700">
        <v>40</v>
      </c>
      <c r="F700">
        <v>7.0000000000000007E-2</v>
      </c>
      <c r="G700" t="s">
        <v>25</v>
      </c>
    </row>
    <row r="701" spans="1:7" x14ac:dyDescent="0.3">
      <c r="A701">
        <v>43285</v>
      </c>
      <c r="B701" t="s">
        <v>13</v>
      </c>
      <c r="C701" t="s">
        <v>8</v>
      </c>
      <c r="D701">
        <v>3</v>
      </c>
      <c r="E701">
        <v>230</v>
      </c>
      <c r="F701">
        <v>0.06</v>
      </c>
      <c r="G701" t="s">
        <v>26</v>
      </c>
    </row>
    <row r="702" spans="1:7" x14ac:dyDescent="0.3">
      <c r="A702">
        <v>43285</v>
      </c>
      <c r="B702" t="s">
        <v>7</v>
      </c>
      <c r="C702" t="s">
        <v>18</v>
      </c>
      <c r="D702">
        <v>16</v>
      </c>
      <c r="E702">
        <v>80</v>
      </c>
      <c r="F702">
        <v>7.0000000000000007E-2</v>
      </c>
      <c r="G702" t="s">
        <v>22</v>
      </c>
    </row>
    <row r="703" spans="1:7" x14ac:dyDescent="0.3">
      <c r="A703">
        <v>43286</v>
      </c>
      <c r="B703" t="s">
        <v>10</v>
      </c>
      <c r="C703" t="s">
        <v>21</v>
      </c>
      <c r="D703">
        <v>3</v>
      </c>
      <c r="E703">
        <v>40</v>
      </c>
      <c r="F703">
        <v>0.03</v>
      </c>
      <c r="G703" t="s">
        <v>24</v>
      </c>
    </row>
    <row r="704" spans="1:7" x14ac:dyDescent="0.3">
      <c r="A704">
        <v>43286</v>
      </c>
      <c r="B704" t="s">
        <v>13</v>
      </c>
      <c r="C704" t="s">
        <v>16</v>
      </c>
      <c r="D704">
        <v>12</v>
      </c>
      <c r="E704">
        <v>230</v>
      </c>
      <c r="F704">
        <v>0.03</v>
      </c>
      <c r="G704" t="s">
        <v>25</v>
      </c>
    </row>
    <row r="705" spans="1:7" x14ac:dyDescent="0.3">
      <c r="A705">
        <v>43286</v>
      </c>
      <c r="B705" t="s">
        <v>10</v>
      </c>
      <c r="C705" t="s">
        <v>18</v>
      </c>
      <c r="D705">
        <v>22</v>
      </c>
      <c r="E705">
        <v>40</v>
      </c>
      <c r="F705">
        <v>0.01</v>
      </c>
      <c r="G705" t="s">
        <v>26</v>
      </c>
    </row>
    <row r="706" spans="1:7" x14ac:dyDescent="0.3">
      <c r="A706">
        <v>43286</v>
      </c>
      <c r="B706" t="s">
        <v>10</v>
      </c>
      <c r="C706" t="s">
        <v>11</v>
      </c>
      <c r="D706">
        <v>19</v>
      </c>
      <c r="E706">
        <v>40</v>
      </c>
      <c r="F706">
        <v>0.1</v>
      </c>
      <c r="G706" t="s">
        <v>22</v>
      </c>
    </row>
    <row r="707" spans="1:7" x14ac:dyDescent="0.3">
      <c r="A707">
        <v>43286</v>
      </c>
      <c r="B707" t="s">
        <v>7</v>
      </c>
      <c r="C707" t="s">
        <v>11</v>
      </c>
      <c r="D707">
        <v>21</v>
      </c>
      <c r="E707">
        <v>80</v>
      </c>
      <c r="F707">
        <v>0.04</v>
      </c>
      <c r="G707" t="s">
        <v>24</v>
      </c>
    </row>
    <row r="708" spans="1:7" x14ac:dyDescent="0.3">
      <c r="A708">
        <v>43286</v>
      </c>
      <c r="B708" t="s">
        <v>7</v>
      </c>
      <c r="C708" t="s">
        <v>11</v>
      </c>
      <c r="D708">
        <v>2</v>
      </c>
      <c r="E708">
        <v>80</v>
      </c>
      <c r="F708">
        <v>0.04</v>
      </c>
      <c r="G708" t="s">
        <v>25</v>
      </c>
    </row>
    <row r="709" spans="1:7" x14ac:dyDescent="0.3">
      <c r="A709">
        <v>43286</v>
      </c>
      <c r="B709" t="s">
        <v>23</v>
      </c>
      <c r="C709" t="s">
        <v>11</v>
      </c>
      <c r="D709">
        <v>15</v>
      </c>
      <c r="E709">
        <v>150</v>
      </c>
      <c r="F709">
        <v>0.02</v>
      </c>
      <c r="G709" t="s">
        <v>26</v>
      </c>
    </row>
    <row r="710" spans="1:7" x14ac:dyDescent="0.3">
      <c r="A710">
        <v>43287</v>
      </c>
      <c r="B710" t="s">
        <v>10</v>
      </c>
      <c r="C710" t="s">
        <v>11</v>
      </c>
      <c r="D710">
        <v>14</v>
      </c>
      <c r="E710">
        <v>40</v>
      </c>
      <c r="F710">
        <v>0.06</v>
      </c>
      <c r="G710" t="s">
        <v>22</v>
      </c>
    </row>
    <row r="711" spans="1:7" x14ac:dyDescent="0.3">
      <c r="A711">
        <v>43287</v>
      </c>
      <c r="B711" t="s">
        <v>7</v>
      </c>
      <c r="C711" t="s">
        <v>18</v>
      </c>
      <c r="D711">
        <v>7</v>
      </c>
      <c r="E711">
        <v>80</v>
      </c>
      <c r="F711">
        <v>7.0000000000000007E-2</v>
      </c>
      <c r="G711" t="s">
        <v>24</v>
      </c>
    </row>
    <row r="712" spans="1:7" x14ac:dyDescent="0.3">
      <c r="A712">
        <v>43287</v>
      </c>
      <c r="B712" t="s">
        <v>7</v>
      </c>
      <c r="C712" t="s">
        <v>16</v>
      </c>
      <c r="D712">
        <v>7</v>
      </c>
      <c r="E712">
        <v>80</v>
      </c>
      <c r="F712">
        <v>0.05</v>
      </c>
      <c r="G712" t="s">
        <v>25</v>
      </c>
    </row>
    <row r="713" spans="1:7" x14ac:dyDescent="0.3">
      <c r="A713">
        <v>43287</v>
      </c>
      <c r="B713" t="s">
        <v>23</v>
      </c>
      <c r="C713" t="s">
        <v>11</v>
      </c>
      <c r="D713">
        <v>10</v>
      </c>
      <c r="E713">
        <v>150</v>
      </c>
      <c r="F713">
        <v>0.01</v>
      </c>
      <c r="G713" t="s">
        <v>26</v>
      </c>
    </row>
    <row r="714" spans="1:7" x14ac:dyDescent="0.3">
      <c r="A714">
        <v>43287</v>
      </c>
      <c r="B714" t="s">
        <v>7</v>
      </c>
      <c r="C714" t="s">
        <v>16</v>
      </c>
      <c r="D714">
        <v>10</v>
      </c>
      <c r="E714">
        <v>80</v>
      </c>
      <c r="F714">
        <v>0.08</v>
      </c>
      <c r="G714" t="s">
        <v>22</v>
      </c>
    </row>
    <row r="715" spans="1:7" x14ac:dyDescent="0.3">
      <c r="A715">
        <v>43287</v>
      </c>
      <c r="B715" t="s">
        <v>7</v>
      </c>
      <c r="C715" t="s">
        <v>18</v>
      </c>
      <c r="D715">
        <v>15</v>
      </c>
      <c r="E715">
        <v>80</v>
      </c>
      <c r="F715">
        <v>0.08</v>
      </c>
      <c r="G715" t="s">
        <v>24</v>
      </c>
    </row>
    <row r="716" spans="1:7" x14ac:dyDescent="0.3">
      <c r="A716">
        <v>43287</v>
      </c>
      <c r="B716" t="s">
        <v>13</v>
      </c>
      <c r="C716" t="s">
        <v>18</v>
      </c>
      <c r="D716">
        <v>18</v>
      </c>
      <c r="E716">
        <v>230</v>
      </c>
      <c r="F716">
        <v>0.01</v>
      </c>
      <c r="G716" t="s">
        <v>25</v>
      </c>
    </row>
    <row r="717" spans="1:7" x14ac:dyDescent="0.3">
      <c r="A717">
        <v>43287</v>
      </c>
      <c r="B717" t="s">
        <v>7</v>
      </c>
      <c r="C717" t="s">
        <v>8</v>
      </c>
      <c r="D717">
        <v>8</v>
      </c>
      <c r="E717">
        <v>80</v>
      </c>
      <c r="F717">
        <v>0.09</v>
      </c>
      <c r="G717" t="s">
        <v>26</v>
      </c>
    </row>
    <row r="718" spans="1:7" x14ac:dyDescent="0.3">
      <c r="A718">
        <v>43287</v>
      </c>
      <c r="B718" t="s">
        <v>20</v>
      </c>
      <c r="C718" t="s">
        <v>16</v>
      </c>
      <c r="D718">
        <v>6</v>
      </c>
      <c r="E718">
        <v>16</v>
      </c>
      <c r="F718">
        <v>0.01</v>
      </c>
      <c r="G718" t="s">
        <v>22</v>
      </c>
    </row>
    <row r="719" spans="1:7" x14ac:dyDescent="0.3">
      <c r="A719">
        <v>43287</v>
      </c>
      <c r="B719" t="s">
        <v>13</v>
      </c>
      <c r="C719" t="s">
        <v>11</v>
      </c>
      <c r="D719">
        <v>9</v>
      </c>
      <c r="E719">
        <v>230</v>
      </c>
      <c r="F719">
        <v>0.03</v>
      </c>
      <c r="G719" t="s">
        <v>24</v>
      </c>
    </row>
    <row r="720" spans="1:7" x14ac:dyDescent="0.3">
      <c r="A720">
        <v>43288</v>
      </c>
      <c r="B720" t="s">
        <v>10</v>
      </c>
      <c r="C720" t="s">
        <v>18</v>
      </c>
      <c r="D720">
        <v>15</v>
      </c>
      <c r="E720">
        <v>40</v>
      </c>
      <c r="F720">
        <v>0.03</v>
      </c>
      <c r="G720" t="s">
        <v>25</v>
      </c>
    </row>
    <row r="721" spans="1:7" x14ac:dyDescent="0.3">
      <c r="A721">
        <v>43288</v>
      </c>
      <c r="B721" t="s">
        <v>10</v>
      </c>
      <c r="C721" t="s">
        <v>11</v>
      </c>
      <c r="D721">
        <v>15</v>
      </c>
      <c r="E721">
        <v>40</v>
      </c>
      <c r="F721">
        <v>0.04</v>
      </c>
      <c r="G721" t="s">
        <v>26</v>
      </c>
    </row>
    <row r="722" spans="1:7" x14ac:dyDescent="0.3">
      <c r="A722">
        <v>43288</v>
      </c>
      <c r="B722" t="s">
        <v>20</v>
      </c>
      <c r="C722" t="s">
        <v>21</v>
      </c>
      <c r="D722">
        <v>11</v>
      </c>
      <c r="E722">
        <v>16</v>
      </c>
      <c r="F722">
        <v>0.12</v>
      </c>
      <c r="G722" t="s">
        <v>22</v>
      </c>
    </row>
    <row r="723" spans="1:7" x14ac:dyDescent="0.3">
      <c r="A723">
        <v>43288</v>
      </c>
      <c r="B723" t="s">
        <v>20</v>
      </c>
      <c r="C723" t="s">
        <v>8</v>
      </c>
      <c r="D723">
        <v>12</v>
      </c>
      <c r="E723">
        <v>16</v>
      </c>
      <c r="F723">
        <v>0.11</v>
      </c>
      <c r="G723" t="s">
        <v>14</v>
      </c>
    </row>
    <row r="724" spans="1:7" x14ac:dyDescent="0.3">
      <c r="A724">
        <v>43288</v>
      </c>
      <c r="B724" t="s">
        <v>20</v>
      </c>
      <c r="C724" t="s">
        <v>18</v>
      </c>
      <c r="D724">
        <v>18</v>
      </c>
      <c r="E724">
        <v>16</v>
      </c>
      <c r="F724">
        <v>0.04</v>
      </c>
      <c r="G724" t="s">
        <v>25</v>
      </c>
    </row>
    <row r="725" spans="1:7" x14ac:dyDescent="0.3">
      <c r="A725">
        <v>43288</v>
      </c>
      <c r="B725" t="s">
        <v>10</v>
      </c>
      <c r="C725" t="s">
        <v>16</v>
      </c>
      <c r="D725">
        <v>20</v>
      </c>
      <c r="E725">
        <v>40</v>
      </c>
      <c r="F725">
        <v>0.01</v>
      </c>
      <c r="G725" t="s">
        <v>14</v>
      </c>
    </row>
    <row r="726" spans="1:7" x14ac:dyDescent="0.3">
      <c r="A726">
        <v>43288</v>
      </c>
      <c r="B726" t="s">
        <v>23</v>
      </c>
      <c r="C726" t="s">
        <v>21</v>
      </c>
      <c r="D726">
        <v>7</v>
      </c>
      <c r="E726">
        <v>150</v>
      </c>
      <c r="F726">
        <v>0.03</v>
      </c>
      <c r="G726" t="s">
        <v>25</v>
      </c>
    </row>
    <row r="727" spans="1:7" x14ac:dyDescent="0.3">
      <c r="A727">
        <v>43288</v>
      </c>
      <c r="B727" t="s">
        <v>10</v>
      </c>
      <c r="C727" t="s">
        <v>18</v>
      </c>
      <c r="D727">
        <v>23</v>
      </c>
      <c r="E727">
        <v>40</v>
      </c>
      <c r="F727">
        <v>0.06</v>
      </c>
      <c r="G727" t="s">
        <v>14</v>
      </c>
    </row>
    <row r="728" spans="1:7" x14ac:dyDescent="0.3">
      <c r="A728">
        <v>43288</v>
      </c>
      <c r="B728" t="s">
        <v>7</v>
      </c>
      <c r="C728" t="s">
        <v>8</v>
      </c>
      <c r="D728">
        <v>7</v>
      </c>
      <c r="E728">
        <v>80</v>
      </c>
      <c r="F728">
        <v>0.02</v>
      </c>
      <c r="G728" t="s">
        <v>25</v>
      </c>
    </row>
    <row r="729" spans="1:7" x14ac:dyDescent="0.3">
      <c r="A729">
        <v>43288</v>
      </c>
      <c r="B729" t="s">
        <v>23</v>
      </c>
      <c r="C729" t="s">
        <v>11</v>
      </c>
      <c r="D729">
        <v>16</v>
      </c>
      <c r="E729">
        <v>150</v>
      </c>
      <c r="F729">
        <v>0.05</v>
      </c>
      <c r="G729" t="s">
        <v>14</v>
      </c>
    </row>
    <row r="730" spans="1:7" x14ac:dyDescent="0.3">
      <c r="A730">
        <v>43288</v>
      </c>
      <c r="B730" t="s">
        <v>13</v>
      </c>
      <c r="C730" t="s">
        <v>11</v>
      </c>
      <c r="D730">
        <v>6</v>
      </c>
      <c r="E730">
        <v>230</v>
      </c>
      <c r="F730">
        <v>0.1</v>
      </c>
      <c r="G730" t="s">
        <v>25</v>
      </c>
    </row>
    <row r="731" spans="1:7" x14ac:dyDescent="0.3">
      <c r="A731">
        <v>43289</v>
      </c>
      <c r="B731" t="s">
        <v>10</v>
      </c>
      <c r="C731" t="s">
        <v>21</v>
      </c>
      <c r="D731">
        <v>7</v>
      </c>
      <c r="E731">
        <v>40</v>
      </c>
      <c r="F731">
        <v>0.12</v>
      </c>
      <c r="G731" t="s">
        <v>14</v>
      </c>
    </row>
    <row r="732" spans="1:7" x14ac:dyDescent="0.3">
      <c r="A732">
        <v>43289</v>
      </c>
      <c r="B732" t="s">
        <v>7</v>
      </c>
      <c r="C732" t="s">
        <v>16</v>
      </c>
      <c r="D732">
        <v>23</v>
      </c>
      <c r="E732">
        <v>80</v>
      </c>
      <c r="F732">
        <v>0.05</v>
      </c>
      <c r="G732" t="s">
        <v>25</v>
      </c>
    </row>
    <row r="733" spans="1:7" x14ac:dyDescent="0.3">
      <c r="A733">
        <v>43289</v>
      </c>
      <c r="B733" t="s">
        <v>7</v>
      </c>
      <c r="C733" t="s">
        <v>18</v>
      </c>
      <c r="D733">
        <v>16</v>
      </c>
      <c r="E733">
        <v>80</v>
      </c>
      <c r="F733">
        <v>0.1</v>
      </c>
      <c r="G733" t="s">
        <v>14</v>
      </c>
    </row>
    <row r="734" spans="1:7" x14ac:dyDescent="0.3">
      <c r="A734">
        <v>43289</v>
      </c>
      <c r="B734" t="s">
        <v>7</v>
      </c>
      <c r="C734" t="s">
        <v>8</v>
      </c>
      <c r="D734">
        <v>16</v>
      </c>
      <c r="E734">
        <v>80</v>
      </c>
      <c r="F734">
        <v>0.03</v>
      </c>
      <c r="G734" t="s">
        <v>25</v>
      </c>
    </row>
    <row r="735" spans="1:7" x14ac:dyDescent="0.3">
      <c r="A735">
        <v>43289</v>
      </c>
      <c r="B735" t="s">
        <v>7</v>
      </c>
      <c r="C735" t="s">
        <v>21</v>
      </c>
      <c r="D735">
        <v>22</v>
      </c>
      <c r="E735">
        <v>80</v>
      </c>
      <c r="F735">
        <v>0.09</v>
      </c>
      <c r="G735" t="s">
        <v>14</v>
      </c>
    </row>
    <row r="736" spans="1:7" x14ac:dyDescent="0.3">
      <c r="A736">
        <v>43289</v>
      </c>
      <c r="B736" t="s">
        <v>20</v>
      </c>
      <c r="C736" t="s">
        <v>8</v>
      </c>
      <c r="D736">
        <v>18</v>
      </c>
      <c r="E736">
        <v>16</v>
      </c>
      <c r="F736">
        <v>0.05</v>
      </c>
      <c r="G736" t="s">
        <v>25</v>
      </c>
    </row>
    <row r="737" spans="1:7" x14ac:dyDescent="0.3">
      <c r="A737">
        <v>43289</v>
      </c>
      <c r="B737" t="s">
        <v>13</v>
      </c>
      <c r="C737" t="s">
        <v>21</v>
      </c>
      <c r="D737">
        <v>5</v>
      </c>
      <c r="E737">
        <v>230</v>
      </c>
      <c r="F737">
        <v>0.12</v>
      </c>
      <c r="G737" t="s">
        <v>14</v>
      </c>
    </row>
    <row r="738" spans="1:7" x14ac:dyDescent="0.3">
      <c r="A738">
        <v>43289</v>
      </c>
      <c r="B738" t="s">
        <v>23</v>
      </c>
      <c r="C738" t="s">
        <v>21</v>
      </c>
      <c r="D738">
        <v>7</v>
      </c>
      <c r="E738">
        <v>150</v>
      </c>
      <c r="F738">
        <v>0.02</v>
      </c>
      <c r="G738" t="s">
        <v>25</v>
      </c>
    </row>
    <row r="739" spans="1:7" x14ac:dyDescent="0.3">
      <c r="A739">
        <v>43289</v>
      </c>
      <c r="B739" t="s">
        <v>10</v>
      </c>
      <c r="C739" t="s">
        <v>16</v>
      </c>
      <c r="D739">
        <v>2</v>
      </c>
      <c r="E739">
        <v>40</v>
      </c>
      <c r="F739">
        <v>0.03</v>
      </c>
      <c r="G739" t="s">
        <v>14</v>
      </c>
    </row>
    <row r="740" spans="1:7" x14ac:dyDescent="0.3">
      <c r="A740">
        <v>43289</v>
      </c>
      <c r="B740" t="s">
        <v>10</v>
      </c>
      <c r="C740" t="s">
        <v>18</v>
      </c>
      <c r="D740">
        <v>11</v>
      </c>
      <c r="E740">
        <v>40</v>
      </c>
      <c r="F740">
        <v>0.06</v>
      </c>
      <c r="G740" t="s">
        <v>25</v>
      </c>
    </row>
    <row r="741" spans="1:7" x14ac:dyDescent="0.3">
      <c r="A741">
        <v>43289</v>
      </c>
      <c r="B741" t="s">
        <v>7</v>
      </c>
      <c r="C741" t="s">
        <v>18</v>
      </c>
      <c r="D741">
        <v>7</v>
      </c>
      <c r="E741">
        <v>80</v>
      </c>
      <c r="F741">
        <v>0.02</v>
      </c>
      <c r="G741" t="s">
        <v>14</v>
      </c>
    </row>
    <row r="742" spans="1:7" x14ac:dyDescent="0.3">
      <c r="A742">
        <v>43290</v>
      </c>
      <c r="B742" t="s">
        <v>10</v>
      </c>
      <c r="C742" t="s">
        <v>16</v>
      </c>
      <c r="D742">
        <v>4</v>
      </c>
      <c r="E742">
        <v>40</v>
      </c>
      <c r="F742">
        <v>0.11</v>
      </c>
      <c r="G742" t="s">
        <v>25</v>
      </c>
    </row>
    <row r="743" spans="1:7" x14ac:dyDescent="0.3">
      <c r="A743">
        <v>43290</v>
      </c>
      <c r="B743" t="s">
        <v>10</v>
      </c>
      <c r="C743" t="s">
        <v>16</v>
      </c>
      <c r="D743">
        <v>2</v>
      </c>
      <c r="E743">
        <v>40</v>
      </c>
      <c r="F743">
        <v>0.02</v>
      </c>
      <c r="G743" t="s">
        <v>14</v>
      </c>
    </row>
    <row r="744" spans="1:7" x14ac:dyDescent="0.3">
      <c r="A744">
        <v>43290</v>
      </c>
      <c r="B744" t="s">
        <v>13</v>
      </c>
      <c r="C744" t="s">
        <v>18</v>
      </c>
      <c r="D744">
        <v>23</v>
      </c>
      <c r="E744">
        <v>230</v>
      </c>
      <c r="F744">
        <v>0.06</v>
      </c>
      <c r="G744" t="s">
        <v>25</v>
      </c>
    </row>
    <row r="745" spans="1:7" x14ac:dyDescent="0.3">
      <c r="A745">
        <v>43290</v>
      </c>
      <c r="B745" t="s">
        <v>7</v>
      </c>
      <c r="C745" t="s">
        <v>21</v>
      </c>
      <c r="D745">
        <v>21</v>
      </c>
      <c r="E745">
        <v>80</v>
      </c>
      <c r="F745">
        <v>0.09</v>
      </c>
      <c r="G745" t="s">
        <v>14</v>
      </c>
    </row>
    <row r="746" spans="1:7" x14ac:dyDescent="0.3">
      <c r="A746">
        <v>43290</v>
      </c>
      <c r="B746" t="s">
        <v>7</v>
      </c>
      <c r="C746" t="s">
        <v>21</v>
      </c>
      <c r="D746">
        <v>9</v>
      </c>
      <c r="E746">
        <v>80</v>
      </c>
      <c r="F746">
        <v>0.06</v>
      </c>
      <c r="G746" t="s">
        <v>25</v>
      </c>
    </row>
    <row r="747" spans="1:7" x14ac:dyDescent="0.3">
      <c r="A747">
        <v>43290</v>
      </c>
      <c r="B747" t="s">
        <v>7</v>
      </c>
      <c r="C747" t="s">
        <v>21</v>
      </c>
      <c r="D747">
        <v>22</v>
      </c>
      <c r="E747">
        <v>80</v>
      </c>
      <c r="F747">
        <v>0.11</v>
      </c>
      <c r="G747" t="s">
        <v>14</v>
      </c>
    </row>
    <row r="748" spans="1:7" x14ac:dyDescent="0.3">
      <c r="A748">
        <v>43291</v>
      </c>
      <c r="B748" t="s">
        <v>13</v>
      </c>
      <c r="C748" t="s">
        <v>16</v>
      </c>
      <c r="D748">
        <v>15</v>
      </c>
      <c r="E748">
        <v>230</v>
      </c>
      <c r="F748">
        <v>0.11</v>
      </c>
      <c r="G748" t="s">
        <v>25</v>
      </c>
    </row>
    <row r="749" spans="1:7" x14ac:dyDescent="0.3">
      <c r="A749">
        <v>43291</v>
      </c>
      <c r="B749" t="s">
        <v>10</v>
      </c>
      <c r="C749" t="s">
        <v>11</v>
      </c>
      <c r="D749">
        <v>7</v>
      </c>
      <c r="E749">
        <v>40</v>
      </c>
      <c r="F749">
        <v>0.01</v>
      </c>
      <c r="G749" t="s">
        <v>14</v>
      </c>
    </row>
    <row r="750" spans="1:7" x14ac:dyDescent="0.3">
      <c r="A750">
        <v>43291</v>
      </c>
      <c r="B750" t="s">
        <v>23</v>
      </c>
      <c r="C750" t="s">
        <v>21</v>
      </c>
      <c r="D750">
        <v>17</v>
      </c>
      <c r="E750">
        <v>150</v>
      </c>
      <c r="F750">
        <v>0.02</v>
      </c>
      <c r="G750" t="s">
        <v>25</v>
      </c>
    </row>
    <row r="751" spans="1:7" x14ac:dyDescent="0.3">
      <c r="A751">
        <v>43291</v>
      </c>
      <c r="B751" t="s">
        <v>23</v>
      </c>
      <c r="C751" t="s">
        <v>11</v>
      </c>
      <c r="D751">
        <v>22</v>
      </c>
      <c r="E751">
        <v>150</v>
      </c>
      <c r="F751">
        <v>0.02</v>
      </c>
      <c r="G751" t="s">
        <v>14</v>
      </c>
    </row>
    <row r="752" spans="1:7" x14ac:dyDescent="0.3">
      <c r="A752">
        <v>43291</v>
      </c>
      <c r="B752" t="s">
        <v>13</v>
      </c>
      <c r="C752" t="s">
        <v>16</v>
      </c>
      <c r="D752">
        <v>10</v>
      </c>
      <c r="E752">
        <v>230</v>
      </c>
      <c r="F752">
        <v>0.02</v>
      </c>
      <c r="G752" t="s">
        <v>25</v>
      </c>
    </row>
    <row r="753" spans="1:7" x14ac:dyDescent="0.3">
      <c r="A753">
        <v>43291</v>
      </c>
      <c r="B753" t="s">
        <v>10</v>
      </c>
      <c r="C753" t="s">
        <v>21</v>
      </c>
      <c r="D753">
        <v>21</v>
      </c>
      <c r="E753">
        <v>40</v>
      </c>
      <c r="F753">
        <v>0.01</v>
      </c>
      <c r="G753" t="s">
        <v>14</v>
      </c>
    </row>
    <row r="754" spans="1:7" x14ac:dyDescent="0.3">
      <c r="A754">
        <v>43291</v>
      </c>
      <c r="B754" t="s">
        <v>13</v>
      </c>
      <c r="C754" t="s">
        <v>16</v>
      </c>
      <c r="D754">
        <v>5</v>
      </c>
      <c r="E754">
        <v>230</v>
      </c>
      <c r="F754">
        <v>0.1</v>
      </c>
      <c r="G754" t="s">
        <v>25</v>
      </c>
    </row>
    <row r="755" spans="1:7" x14ac:dyDescent="0.3">
      <c r="A755">
        <v>43291</v>
      </c>
      <c r="B755" t="s">
        <v>13</v>
      </c>
      <c r="C755" t="s">
        <v>21</v>
      </c>
      <c r="D755">
        <v>13</v>
      </c>
      <c r="E755">
        <v>230</v>
      </c>
      <c r="F755">
        <v>0.06</v>
      </c>
      <c r="G755" t="s">
        <v>14</v>
      </c>
    </row>
    <row r="756" spans="1:7" x14ac:dyDescent="0.3">
      <c r="A756">
        <v>43291</v>
      </c>
      <c r="B756" t="s">
        <v>23</v>
      </c>
      <c r="C756" t="s">
        <v>8</v>
      </c>
      <c r="D756">
        <v>23</v>
      </c>
      <c r="E756">
        <v>150</v>
      </c>
      <c r="F756">
        <v>0.1</v>
      </c>
      <c r="G756" t="s">
        <v>25</v>
      </c>
    </row>
    <row r="757" spans="1:7" x14ac:dyDescent="0.3">
      <c r="A757">
        <v>43291</v>
      </c>
      <c r="B757" t="s">
        <v>23</v>
      </c>
      <c r="C757" t="s">
        <v>8</v>
      </c>
      <c r="D757">
        <v>20</v>
      </c>
      <c r="E757">
        <v>150</v>
      </c>
      <c r="F757">
        <v>0.03</v>
      </c>
      <c r="G757" t="s">
        <v>14</v>
      </c>
    </row>
    <row r="758" spans="1:7" x14ac:dyDescent="0.3">
      <c r="A758">
        <v>43292</v>
      </c>
      <c r="B758" t="s">
        <v>13</v>
      </c>
      <c r="C758" t="s">
        <v>8</v>
      </c>
      <c r="D758">
        <v>3</v>
      </c>
      <c r="E758">
        <v>230</v>
      </c>
      <c r="F758">
        <v>0.11</v>
      </c>
      <c r="G758" t="s">
        <v>25</v>
      </c>
    </row>
    <row r="759" spans="1:7" x14ac:dyDescent="0.3">
      <c r="A759">
        <v>43292</v>
      </c>
      <c r="B759" t="s">
        <v>23</v>
      </c>
      <c r="C759" t="s">
        <v>11</v>
      </c>
      <c r="D759">
        <v>16</v>
      </c>
      <c r="E759">
        <v>150</v>
      </c>
      <c r="F759">
        <v>0.08</v>
      </c>
      <c r="G759" t="s">
        <v>14</v>
      </c>
    </row>
    <row r="760" spans="1:7" x14ac:dyDescent="0.3">
      <c r="A760">
        <v>43292</v>
      </c>
      <c r="B760" t="s">
        <v>20</v>
      </c>
      <c r="C760" t="s">
        <v>21</v>
      </c>
      <c r="D760">
        <v>14</v>
      </c>
      <c r="E760">
        <v>16</v>
      </c>
      <c r="F760">
        <v>0.06</v>
      </c>
      <c r="G760" t="s">
        <v>25</v>
      </c>
    </row>
    <row r="761" spans="1:7" x14ac:dyDescent="0.3">
      <c r="A761">
        <v>43292</v>
      </c>
      <c r="B761" t="s">
        <v>23</v>
      </c>
      <c r="C761" t="s">
        <v>11</v>
      </c>
      <c r="D761">
        <v>16</v>
      </c>
      <c r="E761">
        <v>150</v>
      </c>
      <c r="F761">
        <v>0.03</v>
      </c>
      <c r="G761" t="s">
        <v>14</v>
      </c>
    </row>
    <row r="762" spans="1:7" x14ac:dyDescent="0.3">
      <c r="A762">
        <v>43292</v>
      </c>
      <c r="B762" t="s">
        <v>20</v>
      </c>
      <c r="C762" t="s">
        <v>21</v>
      </c>
      <c r="D762">
        <v>19</v>
      </c>
      <c r="E762">
        <v>16</v>
      </c>
      <c r="F762">
        <v>0.02</v>
      </c>
      <c r="G762" t="s">
        <v>25</v>
      </c>
    </row>
    <row r="763" spans="1:7" x14ac:dyDescent="0.3">
      <c r="A763">
        <v>43292</v>
      </c>
      <c r="B763" t="s">
        <v>7</v>
      </c>
      <c r="C763" t="s">
        <v>21</v>
      </c>
      <c r="D763">
        <v>6</v>
      </c>
      <c r="E763">
        <v>80</v>
      </c>
      <c r="F763">
        <v>0.09</v>
      </c>
      <c r="G763" t="s">
        <v>14</v>
      </c>
    </row>
    <row r="764" spans="1:7" x14ac:dyDescent="0.3">
      <c r="A764">
        <v>43292</v>
      </c>
      <c r="B764" t="s">
        <v>7</v>
      </c>
      <c r="C764" t="s">
        <v>21</v>
      </c>
      <c r="D764">
        <v>9</v>
      </c>
      <c r="E764">
        <v>80</v>
      </c>
      <c r="F764">
        <v>7.0000000000000007E-2</v>
      </c>
      <c r="G764" t="s">
        <v>25</v>
      </c>
    </row>
    <row r="765" spans="1:7" x14ac:dyDescent="0.3">
      <c r="A765">
        <v>43292</v>
      </c>
      <c r="B765" t="s">
        <v>23</v>
      </c>
      <c r="C765" t="s">
        <v>11</v>
      </c>
      <c r="D765">
        <v>20</v>
      </c>
      <c r="E765">
        <v>150</v>
      </c>
      <c r="F765">
        <v>0.09</v>
      </c>
      <c r="G765" t="s">
        <v>14</v>
      </c>
    </row>
    <row r="766" spans="1:7" x14ac:dyDescent="0.3">
      <c r="A766">
        <v>43292</v>
      </c>
      <c r="B766" t="s">
        <v>7</v>
      </c>
      <c r="C766" t="s">
        <v>16</v>
      </c>
      <c r="D766">
        <v>10</v>
      </c>
      <c r="E766">
        <v>80</v>
      </c>
      <c r="F766">
        <v>0.11</v>
      </c>
      <c r="G766" t="s">
        <v>25</v>
      </c>
    </row>
    <row r="767" spans="1:7" x14ac:dyDescent="0.3">
      <c r="A767">
        <v>43292</v>
      </c>
      <c r="B767" t="s">
        <v>20</v>
      </c>
      <c r="C767" t="s">
        <v>8</v>
      </c>
      <c r="D767">
        <v>4</v>
      </c>
      <c r="E767">
        <v>16</v>
      </c>
      <c r="F767">
        <v>0.12</v>
      </c>
      <c r="G767" t="s">
        <v>14</v>
      </c>
    </row>
    <row r="768" spans="1:7" x14ac:dyDescent="0.3">
      <c r="A768">
        <v>43292</v>
      </c>
      <c r="B768" t="s">
        <v>10</v>
      </c>
      <c r="C768" t="s">
        <v>21</v>
      </c>
      <c r="D768">
        <v>16</v>
      </c>
      <c r="E768">
        <v>40</v>
      </c>
      <c r="F768">
        <v>0.11</v>
      </c>
      <c r="G768" t="s">
        <v>25</v>
      </c>
    </row>
    <row r="769" spans="1:7" x14ac:dyDescent="0.3">
      <c r="A769">
        <v>43293</v>
      </c>
      <c r="B769" t="s">
        <v>7</v>
      </c>
      <c r="C769" t="s">
        <v>11</v>
      </c>
      <c r="D769">
        <v>5</v>
      </c>
      <c r="E769">
        <v>80</v>
      </c>
      <c r="F769">
        <v>0.04</v>
      </c>
      <c r="G769" t="s">
        <v>14</v>
      </c>
    </row>
    <row r="770" spans="1:7" x14ac:dyDescent="0.3">
      <c r="A770">
        <v>43293</v>
      </c>
      <c r="B770" t="s">
        <v>20</v>
      </c>
      <c r="C770" t="s">
        <v>16</v>
      </c>
      <c r="D770">
        <v>11</v>
      </c>
      <c r="E770">
        <v>16</v>
      </c>
      <c r="F770">
        <v>0.04</v>
      </c>
      <c r="G770" t="s">
        <v>25</v>
      </c>
    </row>
    <row r="771" spans="1:7" x14ac:dyDescent="0.3">
      <c r="A771">
        <v>43293</v>
      </c>
      <c r="B771" t="s">
        <v>23</v>
      </c>
      <c r="C771" t="s">
        <v>8</v>
      </c>
      <c r="D771">
        <v>17</v>
      </c>
      <c r="E771">
        <v>150</v>
      </c>
      <c r="F771">
        <v>0.12</v>
      </c>
      <c r="G771" t="s">
        <v>14</v>
      </c>
    </row>
    <row r="772" spans="1:7" x14ac:dyDescent="0.3">
      <c r="A772">
        <v>43293</v>
      </c>
      <c r="B772" t="s">
        <v>13</v>
      </c>
      <c r="C772" t="s">
        <v>11</v>
      </c>
      <c r="D772">
        <v>19</v>
      </c>
      <c r="E772">
        <v>230</v>
      </c>
      <c r="F772">
        <v>0.11</v>
      </c>
      <c r="G772" t="s">
        <v>25</v>
      </c>
    </row>
    <row r="773" spans="1:7" x14ac:dyDescent="0.3">
      <c r="A773">
        <v>43293</v>
      </c>
      <c r="B773" t="s">
        <v>7</v>
      </c>
      <c r="C773" t="s">
        <v>8</v>
      </c>
      <c r="D773">
        <v>21</v>
      </c>
      <c r="E773">
        <v>80</v>
      </c>
      <c r="F773">
        <v>0.04</v>
      </c>
      <c r="G773" t="s">
        <v>14</v>
      </c>
    </row>
    <row r="774" spans="1:7" x14ac:dyDescent="0.3">
      <c r="A774">
        <v>43293</v>
      </c>
      <c r="B774" t="s">
        <v>13</v>
      </c>
      <c r="C774" t="s">
        <v>11</v>
      </c>
      <c r="D774">
        <v>7</v>
      </c>
      <c r="E774">
        <v>230</v>
      </c>
      <c r="F774">
        <v>0.01</v>
      </c>
      <c r="G774" t="s">
        <v>25</v>
      </c>
    </row>
    <row r="775" spans="1:7" x14ac:dyDescent="0.3">
      <c r="A775">
        <v>43293</v>
      </c>
      <c r="B775" t="s">
        <v>10</v>
      </c>
      <c r="C775" t="s">
        <v>16</v>
      </c>
      <c r="D775">
        <v>2</v>
      </c>
      <c r="E775">
        <v>40</v>
      </c>
      <c r="F775">
        <v>0.03</v>
      </c>
      <c r="G775" t="s">
        <v>14</v>
      </c>
    </row>
    <row r="776" spans="1:7" x14ac:dyDescent="0.3">
      <c r="A776">
        <v>43293</v>
      </c>
      <c r="B776" t="s">
        <v>23</v>
      </c>
      <c r="C776" t="s">
        <v>8</v>
      </c>
      <c r="D776">
        <v>7</v>
      </c>
      <c r="E776">
        <v>150</v>
      </c>
      <c r="F776">
        <v>0.02</v>
      </c>
      <c r="G776" t="s">
        <v>25</v>
      </c>
    </row>
    <row r="777" spans="1:7" x14ac:dyDescent="0.3">
      <c r="A777">
        <v>43294</v>
      </c>
      <c r="B777" t="s">
        <v>7</v>
      </c>
      <c r="C777" t="s">
        <v>16</v>
      </c>
      <c r="D777">
        <v>16</v>
      </c>
      <c r="E777">
        <v>80</v>
      </c>
      <c r="F777">
        <v>0.04</v>
      </c>
      <c r="G777" t="s">
        <v>14</v>
      </c>
    </row>
    <row r="778" spans="1:7" x14ac:dyDescent="0.3">
      <c r="A778">
        <v>43294</v>
      </c>
      <c r="B778" t="s">
        <v>10</v>
      </c>
      <c r="C778" t="s">
        <v>11</v>
      </c>
      <c r="D778">
        <v>4</v>
      </c>
      <c r="E778">
        <v>40</v>
      </c>
      <c r="F778">
        <v>0.12</v>
      </c>
      <c r="G778" t="s">
        <v>25</v>
      </c>
    </row>
    <row r="779" spans="1:7" x14ac:dyDescent="0.3">
      <c r="A779">
        <v>43294</v>
      </c>
      <c r="B779" t="s">
        <v>20</v>
      </c>
      <c r="C779" t="s">
        <v>8</v>
      </c>
      <c r="D779">
        <v>22</v>
      </c>
      <c r="E779">
        <v>16</v>
      </c>
      <c r="F779">
        <v>0.01</v>
      </c>
      <c r="G779" t="s">
        <v>14</v>
      </c>
    </row>
    <row r="780" spans="1:7" x14ac:dyDescent="0.3">
      <c r="A780">
        <v>43294</v>
      </c>
      <c r="B780" t="s">
        <v>10</v>
      </c>
      <c r="C780" t="s">
        <v>18</v>
      </c>
      <c r="D780">
        <v>18</v>
      </c>
      <c r="E780">
        <v>40</v>
      </c>
      <c r="F780">
        <v>0.06</v>
      </c>
      <c r="G780" t="s">
        <v>25</v>
      </c>
    </row>
    <row r="781" spans="1:7" x14ac:dyDescent="0.3">
      <c r="A781">
        <v>43294</v>
      </c>
      <c r="B781" t="s">
        <v>7</v>
      </c>
      <c r="C781" t="s">
        <v>16</v>
      </c>
      <c r="D781">
        <v>6</v>
      </c>
      <c r="E781">
        <v>80</v>
      </c>
      <c r="F781">
        <v>0.01</v>
      </c>
      <c r="G781" t="s">
        <v>14</v>
      </c>
    </row>
    <row r="782" spans="1:7" x14ac:dyDescent="0.3">
      <c r="A782">
        <v>43294</v>
      </c>
      <c r="B782" t="s">
        <v>13</v>
      </c>
      <c r="C782" t="s">
        <v>16</v>
      </c>
      <c r="D782">
        <v>2</v>
      </c>
      <c r="E782">
        <v>230</v>
      </c>
      <c r="F782">
        <v>0.09</v>
      </c>
      <c r="G782" t="s">
        <v>25</v>
      </c>
    </row>
    <row r="783" spans="1:7" x14ac:dyDescent="0.3">
      <c r="A783">
        <v>43295</v>
      </c>
      <c r="B783" t="s">
        <v>23</v>
      </c>
      <c r="C783" t="s">
        <v>21</v>
      </c>
      <c r="D783">
        <v>11</v>
      </c>
      <c r="E783">
        <v>150</v>
      </c>
      <c r="F783">
        <v>0.09</v>
      </c>
      <c r="G783" t="s">
        <v>14</v>
      </c>
    </row>
    <row r="784" spans="1:7" x14ac:dyDescent="0.3">
      <c r="A784">
        <v>43295</v>
      </c>
      <c r="B784" t="s">
        <v>23</v>
      </c>
      <c r="C784" t="s">
        <v>18</v>
      </c>
      <c r="D784">
        <v>15</v>
      </c>
      <c r="E784">
        <v>150</v>
      </c>
      <c r="F784">
        <v>0.08</v>
      </c>
      <c r="G784" t="s">
        <v>25</v>
      </c>
    </row>
    <row r="785" spans="1:7" x14ac:dyDescent="0.3">
      <c r="A785">
        <v>43295</v>
      </c>
      <c r="B785" t="s">
        <v>7</v>
      </c>
      <c r="C785" t="s">
        <v>8</v>
      </c>
      <c r="D785">
        <v>17</v>
      </c>
      <c r="E785">
        <v>80</v>
      </c>
      <c r="F785">
        <v>0.09</v>
      </c>
      <c r="G785" t="s">
        <v>14</v>
      </c>
    </row>
    <row r="786" spans="1:7" x14ac:dyDescent="0.3">
      <c r="A786">
        <v>43295</v>
      </c>
      <c r="B786" t="s">
        <v>23</v>
      </c>
      <c r="C786" t="s">
        <v>21</v>
      </c>
      <c r="D786">
        <v>13</v>
      </c>
      <c r="E786">
        <v>150</v>
      </c>
      <c r="F786">
        <v>0.11</v>
      </c>
      <c r="G786" t="s">
        <v>25</v>
      </c>
    </row>
    <row r="787" spans="1:7" x14ac:dyDescent="0.3">
      <c r="A787">
        <v>43295</v>
      </c>
      <c r="B787" t="s">
        <v>10</v>
      </c>
      <c r="C787" t="s">
        <v>18</v>
      </c>
      <c r="D787">
        <v>7</v>
      </c>
      <c r="E787">
        <v>40</v>
      </c>
      <c r="F787">
        <v>7.0000000000000007E-2</v>
      </c>
      <c r="G787" t="s">
        <v>14</v>
      </c>
    </row>
    <row r="788" spans="1:7" x14ac:dyDescent="0.3">
      <c r="A788">
        <v>43295</v>
      </c>
      <c r="B788" t="s">
        <v>13</v>
      </c>
      <c r="C788" t="s">
        <v>18</v>
      </c>
      <c r="D788">
        <v>3</v>
      </c>
      <c r="E788">
        <v>230</v>
      </c>
      <c r="F788">
        <v>0.01</v>
      </c>
      <c r="G788" t="s">
        <v>25</v>
      </c>
    </row>
    <row r="789" spans="1:7" x14ac:dyDescent="0.3">
      <c r="A789">
        <v>43295</v>
      </c>
      <c r="B789" t="s">
        <v>10</v>
      </c>
      <c r="C789" t="s">
        <v>16</v>
      </c>
      <c r="D789">
        <v>12</v>
      </c>
      <c r="E789">
        <v>40</v>
      </c>
      <c r="F789">
        <v>0.02</v>
      </c>
      <c r="G789" t="s">
        <v>14</v>
      </c>
    </row>
    <row r="790" spans="1:7" x14ac:dyDescent="0.3">
      <c r="A790">
        <v>43295</v>
      </c>
      <c r="B790" t="s">
        <v>23</v>
      </c>
      <c r="C790" t="s">
        <v>16</v>
      </c>
      <c r="D790">
        <v>11</v>
      </c>
      <c r="E790">
        <v>150</v>
      </c>
      <c r="F790">
        <v>0.11</v>
      </c>
      <c r="G790" t="s">
        <v>25</v>
      </c>
    </row>
    <row r="791" spans="1:7" x14ac:dyDescent="0.3">
      <c r="A791">
        <v>43295</v>
      </c>
      <c r="B791" t="s">
        <v>10</v>
      </c>
      <c r="C791" t="s">
        <v>11</v>
      </c>
      <c r="D791">
        <v>21</v>
      </c>
      <c r="E791">
        <v>40</v>
      </c>
      <c r="F791">
        <v>0.03</v>
      </c>
      <c r="G791" t="s">
        <v>14</v>
      </c>
    </row>
    <row r="792" spans="1:7" x14ac:dyDescent="0.3">
      <c r="A792">
        <v>43295</v>
      </c>
      <c r="B792" t="s">
        <v>23</v>
      </c>
      <c r="C792" t="s">
        <v>8</v>
      </c>
      <c r="D792">
        <v>22</v>
      </c>
      <c r="E792">
        <v>150</v>
      </c>
      <c r="F792">
        <v>7.0000000000000007E-2</v>
      </c>
      <c r="G792" t="s">
        <v>25</v>
      </c>
    </row>
    <row r="793" spans="1:7" x14ac:dyDescent="0.3">
      <c r="A793">
        <v>43295</v>
      </c>
      <c r="B793" t="s">
        <v>10</v>
      </c>
      <c r="C793" t="s">
        <v>16</v>
      </c>
      <c r="D793">
        <v>20</v>
      </c>
      <c r="E793">
        <v>40</v>
      </c>
      <c r="F793">
        <v>0.01</v>
      </c>
      <c r="G793" t="s">
        <v>14</v>
      </c>
    </row>
    <row r="794" spans="1:7" x14ac:dyDescent="0.3">
      <c r="A794">
        <v>43296</v>
      </c>
      <c r="B794" t="s">
        <v>20</v>
      </c>
      <c r="C794" t="s">
        <v>21</v>
      </c>
      <c r="D794">
        <v>22</v>
      </c>
      <c r="E794">
        <v>16</v>
      </c>
      <c r="F794">
        <v>0.12</v>
      </c>
      <c r="G794" t="s">
        <v>25</v>
      </c>
    </row>
    <row r="795" spans="1:7" x14ac:dyDescent="0.3">
      <c r="A795">
        <v>43296</v>
      </c>
      <c r="B795" t="s">
        <v>10</v>
      </c>
      <c r="C795" t="s">
        <v>16</v>
      </c>
      <c r="D795">
        <v>4</v>
      </c>
      <c r="E795">
        <v>40</v>
      </c>
      <c r="F795">
        <v>0.1</v>
      </c>
      <c r="G795" t="s">
        <v>14</v>
      </c>
    </row>
    <row r="796" spans="1:7" x14ac:dyDescent="0.3">
      <c r="A796">
        <v>43296</v>
      </c>
      <c r="B796" t="s">
        <v>13</v>
      </c>
      <c r="C796" t="s">
        <v>18</v>
      </c>
      <c r="D796">
        <v>2</v>
      </c>
      <c r="E796">
        <v>230</v>
      </c>
      <c r="F796">
        <v>0.09</v>
      </c>
      <c r="G796" t="s">
        <v>25</v>
      </c>
    </row>
    <row r="797" spans="1:7" x14ac:dyDescent="0.3">
      <c r="A797">
        <v>43296</v>
      </c>
      <c r="B797" t="s">
        <v>10</v>
      </c>
      <c r="C797" t="s">
        <v>8</v>
      </c>
      <c r="D797">
        <v>22</v>
      </c>
      <c r="E797">
        <v>40</v>
      </c>
      <c r="F797">
        <v>0.02</v>
      </c>
      <c r="G797" t="s">
        <v>14</v>
      </c>
    </row>
    <row r="798" spans="1:7" x14ac:dyDescent="0.3">
      <c r="A798">
        <v>43296</v>
      </c>
      <c r="B798" t="s">
        <v>10</v>
      </c>
      <c r="C798" t="s">
        <v>11</v>
      </c>
      <c r="D798">
        <v>4</v>
      </c>
      <c r="E798">
        <v>40</v>
      </c>
      <c r="F798">
        <v>0.03</v>
      </c>
      <c r="G798" t="s">
        <v>25</v>
      </c>
    </row>
    <row r="799" spans="1:7" x14ac:dyDescent="0.3">
      <c r="A799">
        <v>43296</v>
      </c>
      <c r="B799" t="s">
        <v>20</v>
      </c>
      <c r="C799" t="s">
        <v>11</v>
      </c>
      <c r="D799">
        <v>5</v>
      </c>
      <c r="E799">
        <v>16</v>
      </c>
      <c r="F799">
        <v>0.11</v>
      </c>
      <c r="G799" t="s">
        <v>14</v>
      </c>
    </row>
    <row r="800" spans="1:7" x14ac:dyDescent="0.3">
      <c r="A800">
        <v>43296</v>
      </c>
      <c r="B800" t="s">
        <v>7</v>
      </c>
      <c r="C800" t="s">
        <v>18</v>
      </c>
      <c r="D800">
        <v>2</v>
      </c>
      <c r="E800">
        <v>80</v>
      </c>
      <c r="F800">
        <v>0.08</v>
      </c>
      <c r="G800" t="s">
        <v>25</v>
      </c>
    </row>
    <row r="801" spans="1:7" x14ac:dyDescent="0.3">
      <c r="A801">
        <v>43296</v>
      </c>
      <c r="B801" t="s">
        <v>20</v>
      </c>
      <c r="C801" t="s">
        <v>16</v>
      </c>
      <c r="D801">
        <v>9</v>
      </c>
      <c r="E801">
        <v>16</v>
      </c>
      <c r="F801">
        <v>0.05</v>
      </c>
      <c r="G801" t="s">
        <v>14</v>
      </c>
    </row>
    <row r="802" spans="1:7" x14ac:dyDescent="0.3">
      <c r="A802">
        <v>43296</v>
      </c>
      <c r="B802" t="s">
        <v>13</v>
      </c>
      <c r="C802" t="s">
        <v>16</v>
      </c>
      <c r="D802">
        <v>6</v>
      </c>
      <c r="E802">
        <v>230</v>
      </c>
      <c r="F802">
        <v>0.05</v>
      </c>
      <c r="G802" t="s">
        <v>25</v>
      </c>
    </row>
    <row r="803" spans="1:7" x14ac:dyDescent="0.3">
      <c r="A803">
        <v>43296</v>
      </c>
      <c r="B803" t="s">
        <v>23</v>
      </c>
      <c r="C803" t="s">
        <v>18</v>
      </c>
      <c r="D803">
        <v>22</v>
      </c>
      <c r="E803">
        <v>150</v>
      </c>
      <c r="F803">
        <v>0.05</v>
      </c>
      <c r="G803" t="s">
        <v>14</v>
      </c>
    </row>
    <row r="804" spans="1:7" x14ac:dyDescent="0.3">
      <c r="A804">
        <v>43297</v>
      </c>
      <c r="B804" t="s">
        <v>13</v>
      </c>
      <c r="C804" t="s">
        <v>18</v>
      </c>
      <c r="D804">
        <v>8</v>
      </c>
      <c r="E804">
        <v>230</v>
      </c>
      <c r="F804">
        <v>0.01</v>
      </c>
      <c r="G804" t="s">
        <v>25</v>
      </c>
    </row>
    <row r="805" spans="1:7" x14ac:dyDescent="0.3">
      <c r="A805">
        <v>43297</v>
      </c>
      <c r="B805" t="s">
        <v>23</v>
      </c>
      <c r="C805" t="s">
        <v>8</v>
      </c>
      <c r="D805">
        <v>22</v>
      </c>
      <c r="E805">
        <v>150</v>
      </c>
      <c r="F805">
        <v>0.05</v>
      </c>
      <c r="G805" t="s">
        <v>14</v>
      </c>
    </row>
    <row r="806" spans="1:7" x14ac:dyDescent="0.3">
      <c r="A806">
        <v>43297</v>
      </c>
      <c r="B806" t="s">
        <v>10</v>
      </c>
      <c r="C806" t="s">
        <v>8</v>
      </c>
      <c r="D806">
        <v>5</v>
      </c>
      <c r="E806">
        <v>40</v>
      </c>
      <c r="F806">
        <v>0.06</v>
      </c>
      <c r="G806" t="s">
        <v>25</v>
      </c>
    </row>
    <row r="807" spans="1:7" x14ac:dyDescent="0.3">
      <c r="A807">
        <v>43297</v>
      </c>
      <c r="B807" t="s">
        <v>23</v>
      </c>
      <c r="C807" t="s">
        <v>18</v>
      </c>
      <c r="D807">
        <v>20</v>
      </c>
      <c r="E807">
        <v>150</v>
      </c>
      <c r="F807">
        <v>0.1</v>
      </c>
      <c r="G807" t="s">
        <v>14</v>
      </c>
    </row>
    <row r="808" spans="1:7" x14ac:dyDescent="0.3">
      <c r="A808">
        <v>43297</v>
      </c>
      <c r="B808" t="s">
        <v>7</v>
      </c>
      <c r="C808" t="s">
        <v>18</v>
      </c>
      <c r="D808">
        <v>22</v>
      </c>
      <c r="E808">
        <v>80</v>
      </c>
      <c r="F808">
        <v>0.03</v>
      </c>
      <c r="G808" t="s">
        <v>25</v>
      </c>
    </row>
    <row r="809" spans="1:7" x14ac:dyDescent="0.3">
      <c r="A809">
        <v>43297</v>
      </c>
      <c r="B809" t="s">
        <v>20</v>
      </c>
      <c r="C809" t="s">
        <v>8</v>
      </c>
      <c r="D809">
        <v>11</v>
      </c>
      <c r="E809">
        <v>16</v>
      </c>
      <c r="F809">
        <v>0.09</v>
      </c>
      <c r="G809" t="s">
        <v>14</v>
      </c>
    </row>
    <row r="810" spans="1:7" x14ac:dyDescent="0.3">
      <c r="A810">
        <v>43297</v>
      </c>
      <c r="B810" t="s">
        <v>20</v>
      </c>
      <c r="C810" t="s">
        <v>11</v>
      </c>
      <c r="D810">
        <v>22</v>
      </c>
      <c r="E810">
        <v>16</v>
      </c>
      <c r="F810">
        <v>0.01</v>
      </c>
      <c r="G810" t="s">
        <v>25</v>
      </c>
    </row>
    <row r="811" spans="1:7" x14ac:dyDescent="0.3">
      <c r="A811">
        <v>43297</v>
      </c>
      <c r="B811" t="s">
        <v>10</v>
      </c>
      <c r="C811" t="s">
        <v>11</v>
      </c>
      <c r="D811">
        <v>23</v>
      </c>
      <c r="E811">
        <v>40</v>
      </c>
      <c r="F811">
        <v>0.06</v>
      </c>
      <c r="G811" t="s">
        <v>14</v>
      </c>
    </row>
    <row r="812" spans="1:7" x14ac:dyDescent="0.3">
      <c r="A812">
        <v>43297</v>
      </c>
      <c r="B812" t="s">
        <v>7</v>
      </c>
      <c r="C812" t="s">
        <v>16</v>
      </c>
      <c r="D812">
        <v>14</v>
      </c>
      <c r="E812">
        <v>80</v>
      </c>
      <c r="F812">
        <v>0.1</v>
      </c>
      <c r="G812" t="s">
        <v>25</v>
      </c>
    </row>
    <row r="813" spans="1:7" x14ac:dyDescent="0.3">
      <c r="A813">
        <v>43297</v>
      </c>
      <c r="B813" t="s">
        <v>10</v>
      </c>
      <c r="C813" t="s">
        <v>8</v>
      </c>
      <c r="D813">
        <v>18</v>
      </c>
      <c r="E813">
        <v>40</v>
      </c>
      <c r="F813">
        <v>0.06</v>
      </c>
      <c r="G813" t="s">
        <v>14</v>
      </c>
    </row>
    <row r="814" spans="1:7" x14ac:dyDescent="0.3">
      <c r="A814">
        <v>43298</v>
      </c>
      <c r="B814" t="s">
        <v>23</v>
      </c>
      <c r="C814" t="s">
        <v>18</v>
      </c>
      <c r="D814">
        <v>7</v>
      </c>
      <c r="E814">
        <v>150</v>
      </c>
      <c r="F814">
        <v>0.05</v>
      </c>
      <c r="G814" t="s">
        <v>12</v>
      </c>
    </row>
    <row r="815" spans="1:7" x14ac:dyDescent="0.3">
      <c r="A815">
        <v>43298</v>
      </c>
      <c r="B815" t="s">
        <v>10</v>
      </c>
      <c r="C815" t="s">
        <v>18</v>
      </c>
      <c r="D815">
        <v>15</v>
      </c>
      <c r="E815">
        <v>40</v>
      </c>
      <c r="F815">
        <v>0.03</v>
      </c>
      <c r="G815" t="s">
        <v>14</v>
      </c>
    </row>
    <row r="816" spans="1:7" x14ac:dyDescent="0.3">
      <c r="A816">
        <v>43298</v>
      </c>
      <c r="B816" t="s">
        <v>20</v>
      </c>
      <c r="C816" t="s">
        <v>8</v>
      </c>
      <c r="D816">
        <v>7</v>
      </c>
      <c r="E816">
        <v>16</v>
      </c>
      <c r="F816">
        <v>0.02</v>
      </c>
      <c r="G816" t="s">
        <v>15</v>
      </c>
    </row>
    <row r="817" spans="1:7" x14ac:dyDescent="0.3">
      <c r="A817">
        <v>43298</v>
      </c>
      <c r="B817" t="s">
        <v>20</v>
      </c>
      <c r="C817" t="s">
        <v>18</v>
      </c>
      <c r="D817">
        <v>15</v>
      </c>
      <c r="E817">
        <v>16</v>
      </c>
      <c r="F817">
        <v>0.12</v>
      </c>
      <c r="G817" t="s">
        <v>17</v>
      </c>
    </row>
    <row r="818" spans="1:7" x14ac:dyDescent="0.3">
      <c r="A818">
        <v>43298</v>
      </c>
      <c r="B818" t="s">
        <v>10</v>
      </c>
      <c r="C818" t="s">
        <v>8</v>
      </c>
      <c r="D818">
        <v>5</v>
      </c>
      <c r="E818">
        <v>40</v>
      </c>
      <c r="F818">
        <v>0.09</v>
      </c>
      <c r="G818" t="s">
        <v>19</v>
      </c>
    </row>
    <row r="819" spans="1:7" x14ac:dyDescent="0.3">
      <c r="A819">
        <v>43298</v>
      </c>
      <c r="B819" t="s">
        <v>10</v>
      </c>
      <c r="C819" t="s">
        <v>21</v>
      </c>
      <c r="D819">
        <v>20</v>
      </c>
      <c r="E819">
        <v>40</v>
      </c>
      <c r="F819">
        <v>0.03</v>
      </c>
      <c r="G819" t="s">
        <v>22</v>
      </c>
    </row>
    <row r="820" spans="1:7" x14ac:dyDescent="0.3">
      <c r="A820">
        <v>43298</v>
      </c>
      <c r="B820" t="s">
        <v>13</v>
      </c>
      <c r="C820" t="s">
        <v>18</v>
      </c>
      <c r="D820">
        <v>11</v>
      </c>
      <c r="E820">
        <v>230</v>
      </c>
      <c r="F820">
        <v>0.12</v>
      </c>
      <c r="G820" t="s">
        <v>24</v>
      </c>
    </row>
    <row r="821" spans="1:7" x14ac:dyDescent="0.3">
      <c r="A821">
        <v>43298</v>
      </c>
      <c r="B821" t="s">
        <v>20</v>
      </c>
      <c r="C821" t="s">
        <v>21</v>
      </c>
      <c r="D821">
        <v>17</v>
      </c>
      <c r="E821">
        <v>16</v>
      </c>
      <c r="F821">
        <v>0.08</v>
      </c>
      <c r="G821" t="s">
        <v>25</v>
      </c>
    </row>
    <row r="822" spans="1:7" x14ac:dyDescent="0.3">
      <c r="A822">
        <v>43299</v>
      </c>
      <c r="B822" t="s">
        <v>20</v>
      </c>
      <c r="C822" t="s">
        <v>8</v>
      </c>
      <c r="D822">
        <v>18</v>
      </c>
      <c r="E822">
        <v>16</v>
      </c>
      <c r="F822">
        <v>0.11</v>
      </c>
      <c r="G822" t="s">
        <v>26</v>
      </c>
    </row>
    <row r="823" spans="1:7" x14ac:dyDescent="0.3">
      <c r="A823">
        <v>43299</v>
      </c>
      <c r="B823" t="s">
        <v>13</v>
      </c>
      <c r="C823" t="s">
        <v>18</v>
      </c>
      <c r="D823">
        <v>2</v>
      </c>
      <c r="E823">
        <v>230</v>
      </c>
      <c r="F823">
        <v>0.08</v>
      </c>
      <c r="G823" t="s">
        <v>27</v>
      </c>
    </row>
    <row r="824" spans="1:7" x14ac:dyDescent="0.3">
      <c r="A824">
        <v>43299</v>
      </c>
      <c r="B824" t="s">
        <v>20</v>
      </c>
      <c r="C824" t="s">
        <v>16</v>
      </c>
      <c r="D824">
        <v>17</v>
      </c>
      <c r="E824">
        <v>16</v>
      </c>
      <c r="F824">
        <v>0.05</v>
      </c>
      <c r="G824" t="s">
        <v>28</v>
      </c>
    </row>
    <row r="825" spans="1:7" x14ac:dyDescent="0.3">
      <c r="A825">
        <v>43299</v>
      </c>
      <c r="B825" t="s">
        <v>7</v>
      </c>
      <c r="C825" t="s">
        <v>18</v>
      </c>
      <c r="D825">
        <v>16</v>
      </c>
      <c r="E825">
        <v>80</v>
      </c>
      <c r="F825">
        <v>0.05</v>
      </c>
      <c r="G825" t="s">
        <v>9</v>
      </c>
    </row>
    <row r="826" spans="1:7" x14ac:dyDescent="0.3">
      <c r="A826">
        <v>43299</v>
      </c>
      <c r="B826" t="s">
        <v>13</v>
      </c>
      <c r="C826" t="s">
        <v>11</v>
      </c>
      <c r="D826">
        <v>14</v>
      </c>
      <c r="E826">
        <v>230</v>
      </c>
      <c r="F826">
        <v>0.05</v>
      </c>
      <c r="G826" t="s">
        <v>12</v>
      </c>
    </row>
    <row r="827" spans="1:7" x14ac:dyDescent="0.3">
      <c r="A827">
        <v>43299</v>
      </c>
      <c r="B827" t="s">
        <v>10</v>
      </c>
      <c r="C827" t="s">
        <v>16</v>
      </c>
      <c r="D827">
        <v>13</v>
      </c>
      <c r="E827">
        <v>40</v>
      </c>
      <c r="F827">
        <v>0.02</v>
      </c>
      <c r="G827" t="s">
        <v>14</v>
      </c>
    </row>
    <row r="828" spans="1:7" x14ac:dyDescent="0.3">
      <c r="A828">
        <v>43299</v>
      </c>
      <c r="B828" t="s">
        <v>13</v>
      </c>
      <c r="C828" t="s">
        <v>11</v>
      </c>
      <c r="D828">
        <v>7</v>
      </c>
      <c r="E828">
        <v>230</v>
      </c>
      <c r="F828">
        <v>0.08</v>
      </c>
      <c r="G828" t="s">
        <v>15</v>
      </c>
    </row>
    <row r="829" spans="1:7" x14ac:dyDescent="0.3">
      <c r="A829">
        <v>43299</v>
      </c>
      <c r="B829" t="s">
        <v>10</v>
      </c>
      <c r="C829" t="s">
        <v>18</v>
      </c>
      <c r="D829">
        <v>7</v>
      </c>
      <c r="E829">
        <v>40</v>
      </c>
      <c r="F829">
        <v>0.11</v>
      </c>
      <c r="G829" t="s">
        <v>17</v>
      </c>
    </row>
    <row r="830" spans="1:7" x14ac:dyDescent="0.3">
      <c r="A830">
        <v>43299</v>
      </c>
      <c r="B830" t="s">
        <v>13</v>
      </c>
      <c r="C830" t="s">
        <v>16</v>
      </c>
      <c r="D830">
        <v>12</v>
      </c>
      <c r="E830">
        <v>230</v>
      </c>
      <c r="F830">
        <v>0.06</v>
      </c>
      <c r="G830" t="s">
        <v>19</v>
      </c>
    </row>
    <row r="831" spans="1:7" x14ac:dyDescent="0.3">
      <c r="A831">
        <v>43299</v>
      </c>
      <c r="B831" t="s">
        <v>10</v>
      </c>
      <c r="C831" t="s">
        <v>8</v>
      </c>
      <c r="D831">
        <v>19</v>
      </c>
      <c r="E831">
        <v>40</v>
      </c>
      <c r="F831">
        <v>0.04</v>
      </c>
      <c r="G831" t="s">
        <v>12</v>
      </c>
    </row>
    <row r="832" spans="1:7" x14ac:dyDescent="0.3">
      <c r="A832">
        <v>43300</v>
      </c>
      <c r="B832" t="s">
        <v>13</v>
      </c>
      <c r="C832" t="s">
        <v>16</v>
      </c>
      <c r="D832">
        <v>20</v>
      </c>
      <c r="E832">
        <v>230</v>
      </c>
      <c r="F832">
        <v>0.06</v>
      </c>
      <c r="G832" t="s">
        <v>14</v>
      </c>
    </row>
    <row r="833" spans="1:7" x14ac:dyDescent="0.3">
      <c r="A833">
        <v>43300</v>
      </c>
      <c r="B833" t="s">
        <v>10</v>
      </c>
      <c r="C833" t="s">
        <v>21</v>
      </c>
      <c r="D833">
        <v>23</v>
      </c>
      <c r="E833">
        <v>40</v>
      </c>
      <c r="F833">
        <v>0.04</v>
      </c>
      <c r="G833" t="s">
        <v>15</v>
      </c>
    </row>
    <row r="834" spans="1:7" x14ac:dyDescent="0.3">
      <c r="A834">
        <v>43300</v>
      </c>
      <c r="B834" t="s">
        <v>7</v>
      </c>
      <c r="C834" t="s">
        <v>21</v>
      </c>
      <c r="D834">
        <v>16</v>
      </c>
      <c r="E834">
        <v>80</v>
      </c>
      <c r="F834">
        <v>0.05</v>
      </c>
      <c r="G834" t="s">
        <v>17</v>
      </c>
    </row>
    <row r="835" spans="1:7" x14ac:dyDescent="0.3">
      <c r="A835">
        <v>43300</v>
      </c>
      <c r="B835" t="s">
        <v>23</v>
      </c>
      <c r="C835" t="s">
        <v>11</v>
      </c>
      <c r="D835">
        <v>23</v>
      </c>
      <c r="E835">
        <v>150</v>
      </c>
      <c r="F835">
        <v>0.11</v>
      </c>
      <c r="G835" t="s">
        <v>19</v>
      </c>
    </row>
    <row r="836" spans="1:7" x14ac:dyDescent="0.3">
      <c r="A836">
        <v>43300</v>
      </c>
      <c r="B836" t="s">
        <v>20</v>
      </c>
      <c r="C836" t="s">
        <v>11</v>
      </c>
      <c r="D836">
        <v>4</v>
      </c>
      <c r="E836">
        <v>16</v>
      </c>
      <c r="F836">
        <v>7.0000000000000007E-2</v>
      </c>
      <c r="G836" t="s">
        <v>22</v>
      </c>
    </row>
    <row r="837" spans="1:7" x14ac:dyDescent="0.3">
      <c r="A837">
        <v>43300</v>
      </c>
      <c r="B837" t="s">
        <v>13</v>
      </c>
      <c r="C837" t="s">
        <v>8</v>
      </c>
      <c r="D837">
        <v>8</v>
      </c>
      <c r="E837">
        <v>230</v>
      </c>
      <c r="F837">
        <v>0.03</v>
      </c>
      <c r="G837" t="s">
        <v>24</v>
      </c>
    </row>
    <row r="838" spans="1:7" x14ac:dyDescent="0.3">
      <c r="A838">
        <v>43300</v>
      </c>
      <c r="B838" t="s">
        <v>7</v>
      </c>
      <c r="C838" t="s">
        <v>11</v>
      </c>
      <c r="D838">
        <v>17</v>
      </c>
      <c r="E838">
        <v>80</v>
      </c>
      <c r="F838">
        <v>0.03</v>
      </c>
      <c r="G838" t="s">
        <v>25</v>
      </c>
    </row>
    <row r="839" spans="1:7" x14ac:dyDescent="0.3">
      <c r="A839">
        <v>43300</v>
      </c>
      <c r="B839" t="s">
        <v>7</v>
      </c>
      <c r="C839" t="s">
        <v>18</v>
      </c>
      <c r="D839">
        <v>10</v>
      </c>
      <c r="E839">
        <v>80</v>
      </c>
      <c r="F839">
        <v>0.1</v>
      </c>
      <c r="G839" t="s">
        <v>26</v>
      </c>
    </row>
    <row r="840" spans="1:7" x14ac:dyDescent="0.3">
      <c r="A840">
        <v>43300</v>
      </c>
      <c r="B840" t="s">
        <v>20</v>
      </c>
      <c r="C840" t="s">
        <v>8</v>
      </c>
      <c r="D840">
        <v>20</v>
      </c>
      <c r="E840">
        <v>16</v>
      </c>
      <c r="F840">
        <v>0.11</v>
      </c>
      <c r="G840" t="s">
        <v>27</v>
      </c>
    </row>
    <row r="841" spans="1:7" x14ac:dyDescent="0.3">
      <c r="A841">
        <v>43301</v>
      </c>
      <c r="B841" t="s">
        <v>13</v>
      </c>
      <c r="C841" t="s">
        <v>18</v>
      </c>
      <c r="D841">
        <v>19</v>
      </c>
      <c r="E841">
        <v>230</v>
      </c>
      <c r="F841">
        <v>0.06</v>
      </c>
      <c r="G841" t="s">
        <v>28</v>
      </c>
    </row>
    <row r="842" spans="1:7" x14ac:dyDescent="0.3">
      <c r="A842">
        <v>43301</v>
      </c>
      <c r="B842" t="s">
        <v>10</v>
      </c>
      <c r="C842" t="s">
        <v>16</v>
      </c>
      <c r="D842">
        <v>18</v>
      </c>
      <c r="E842">
        <v>40</v>
      </c>
      <c r="F842">
        <v>0.03</v>
      </c>
      <c r="G842" t="s">
        <v>9</v>
      </c>
    </row>
    <row r="843" spans="1:7" x14ac:dyDescent="0.3">
      <c r="A843">
        <v>43301</v>
      </c>
      <c r="B843" t="s">
        <v>7</v>
      </c>
      <c r="C843" t="s">
        <v>11</v>
      </c>
      <c r="D843">
        <v>16</v>
      </c>
      <c r="E843">
        <v>80</v>
      </c>
      <c r="F843">
        <v>0.04</v>
      </c>
      <c r="G843" t="s">
        <v>12</v>
      </c>
    </row>
    <row r="844" spans="1:7" x14ac:dyDescent="0.3">
      <c r="A844">
        <v>43301</v>
      </c>
      <c r="B844" t="s">
        <v>7</v>
      </c>
      <c r="C844" t="s">
        <v>18</v>
      </c>
      <c r="D844">
        <v>8</v>
      </c>
      <c r="E844">
        <v>80</v>
      </c>
      <c r="F844">
        <v>0.06</v>
      </c>
      <c r="G844" t="s">
        <v>14</v>
      </c>
    </row>
    <row r="845" spans="1:7" x14ac:dyDescent="0.3">
      <c r="A845">
        <v>43301</v>
      </c>
      <c r="B845" t="s">
        <v>23</v>
      </c>
      <c r="C845" t="s">
        <v>18</v>
      </c>
      <c r="D845">
        <v>4</v>
      </c>
      <c r="E845">
        <v>150</v>
      </c>
      <c r="F845">
        <v>0.12</v>
      </c>
      <c r="G845" t="s">
        <v>15</v>
      </c>
    </row>
    <row r="846" spans="1:7" x14ac:dyDescent="0.3">
      <c r="A846">
        <v>43301</v>
      </c>
      <c r="B846" t="s">
        <v>13</v>
      </c>
      <c r="C846" t="s">
        <v>16</v>
      </c>
      <c r="D846">
        <v>15</v>
      </c>
      <c r="E846">
        <v>230</v>
      </c>
      <c r="F846">
        <v>0.04</v>
      </c>
      <c r="G846" t="s">
        <v>17</v>
      </c>
    </row>
    <row r="847" spans="1:7" x14ac:dyDescent="0.3">
      <c r="A847">
        <v>43302</v>
      </c>
      <c r="B847" t="s">
        <v>20</v>
      </c>
      <c r="C847" t="s">
        <v>11</v>
      </c>
      <c r="D847">
        <v>7</v>
      </c>
      <c r="E847">
        <v>16</v>
      </c>
      <c r="F847">
        <v>0.08</v>
      </c>
      <c r="G847" t="s">
        <v>19</v>
      </c>
    </row>
    <row r="848" spans="1:7" x14ac:dyDescent="0.3">
      <c r="A848">
        <v>43302</v>
      </c>
      <c r="B848" t="s">
        <v>10</v>
      </c>
      <c r="C848" t="s">
        <v>8</v>
      </c>
      <c r="D848">
        <v>18</v>
      </c>
      <c r="E848">
        <v>40</v>
      </c>
      <c r="F848">
        <v>0.11</v>
      </c>
      <c r="G848" t="s">
        <v>12</v>
      </c>
    </row>
    <row r="849" spans="1:7" x14ac:dyDescent="0.3">
      <c r="A849">
        <v>43302</v>
      </c>
      <c r="B849" t="s">
        <v>10</v>
      </c>
      <c r="C849" t="s">
        <v>16</v>
      </c>
      <c r="D849">
        <v>4</v>
      </c>
      <c r="E849">
        <v>40</v>
      </c>
      <c r="F849">
        <v>0.06</v>
      </c>
      <c r="G849" t="s">
        <v>14</v>
      </c>
    </row>
    <row r="850" spans="1:7" x14ac:dyDescent="0.3">
      <c r="A850">
        <v>43302</v>
      </c>
      <c r="B850" t="s">
        <v>10</v>
      </c>
      <c r="C850" t="s">
        <v>21</v>
      </c>
      <c r="D850">
        <v>16</v>
      </c>
      <c r="E850">
        <v>40</v>
      </c>
      <c r="F850">
        <v>0.09</v>
      </c>
      <c r="G850" t="s">
        <v>15</v>
      </c>
    </row>
    <row r="851" spans="1:7" x14ac:dyDescent="0.3">
      <c r="A851">
        <v>43302</v>
      </c>
      <c r="B851" t="s">
        <v>10</v>
      </c>
      <c r="C851" t="s">
        <v>11</v>
      </c>
      <c r="D851">
        <v>18</v>
      </c>
      <c r="E851">
        <v>40</v>
      </c>
      <c r="F851">
        <v>0.08</v>
      </c>
      <c r="G851" t="s">
        <v>17</v>
      </c>
    </row>
    <row r="852" spans="1:7" x14ac:dyDescent="0.3">
      <c r="A852">
        <v>43302</v>
      </c>
      <c r="B852" t="s">
        <v>10</v>
      </c>
      <c r="C852" t="s">
        <v>8</v>
      </c>
      <c r="D852">
        <v>9</v>
      </c>
      <c r="E852">
        <v>40</v>
      </c>
      <c r="F852">
        <v>0.01</v>
      </c>
      <c r="G852" t="s">
        <v>19</v>
      </c>
    </row>
    <row r="853" spans="1:7" x14ac:dyDescent="0.3">
      <c r="A853">
        <v>43302</v>
      </c>
      <c r="B853" t="s">
        <v>13</v>
      </c>
      <c r="C853" t="s">
        <v>18</v>
      </c>
      <c r="D853">
        <v>16</v>
      </c>
      <c r="E853">
        <v>230</v>
      </c>
      <c r="F853">
        <v>0.11</v>
      </c>
      <c r="G853" t="s">
        <v>22</v>
      </c>
    </row>
    <row r="854" spans="1:7" x14ac:dyDescent="0.3">
      <c r="A854">
        <v>43302</v>
      </c>
      <c r="B854" t="s">
        <v>20</v>
      </c>
      <c r="C854" t="s">
        <v>16</v>
      </c>
      <c r="D854">
        <v>12</v>
      </c>
      <c r="E854">
        <v>16</v>
      </c>
      <c r="F854">
        <v>0.11</v>
      </c>
      <c r="G854" t="s">
        <v>24</v>
      </c>
    </row>
    <row r="855" spans="1:7" x14ac:dyDescent="0.3">
      <c r="A855">
        <v>43302</v>
      </c>
      <c r="B855" t="s">
        <v>7</v>
      </c>
      <c r="C855" t="s">
        <v>11</v>
      </c>
      <c r="D855">
        <v>2</v>
      </c>
      <c r="E855">
        <v>80</v>
      </c>
      <c r="F855">
        <v>7.0000000000000007E-2</v>
      </c>
      <c r="G855" t="s">
        <v>25</v>
      </c>
    </row>
    <row r="856" spans="1:7" x14ac:dyDescent="0.3">
      <c r="A856">
        <v>43302</v>
      </c>
      <c r="B856" t="s">
        <v>10</v>
      </c>
      <c r="C856" t="s">
        <v>8</v>
      </c>
      <c r="D856">
        <v>2</v>
      </c>
      <c r="E856">
        <v>40</v>
      </c>
      <c r="F856">
        <v>0.12</v>
      </c>
      <c r="G856" t="s">
        <v>26</v>
      </c>
    </row>
    <row r="857" spans="1:7" x14ac:dyDescent="0.3">
      <c r="A857">
        <v>43303</v>
      </c>
      <c r="B857" t="s">
        <v>23</v>
      </c>
      <c r="C857" t="s">
        <v>8</v>
      </c>
      <c r="D857">
        <v>13</v>
      </c>
      <c r="E857">
        <v>150</v>
      </c>
      <c r="F857">
        <v>0.05</v>
      </c>
      <c r="G857" t="s">
        <v>27</v>
      </c>
    </row>
    <row r="858" spans="1:7" x14ac:dyDescent="0.3">
      <c r="A858">
        <v>43303</v>
      </c>
      <c r="B858" t="s">
        <v>7</v>
      </c>
      <c r="C858" t="s">
        <v>8</v>
      </c>
      <c r="D858">
        <v>14</v>
      </c>
      <c r="E858">
        <v>80</v>
      </c>
      <c r="F858">
        <v>0.08</v>
      </c>
      <c r="G858" t="s">
        <v>28</v>
      </c>
    </row>
    <row r="859" spans="1:7" x14ac:dyDescent="0.3">
      <c r="A859">
        <v>43303</v>
      </c>
      <c r="B859" t="s">
        <v>23</v>
      </c>
      <c r="C859" t="s">
        <v>18</v>
      </c>
      <c r="D859">
        <v>6</v>
      </c>
      <c r="E859">
        <v>150</v>
      </c>
      <c r="F859">
        <v>0.03</v>
      </c>
      <c r="G859" t="s">
        <v>9</v>
      </c>
    </row>
    <row r="860" spans="1:7" x14ac:dyDescent="0.3">
      <c r="A860">
        <v>43303</v>
      </c>
      <c r="B860" t="s">
        <v>7</v>
      </c>
      <c r="C860" t="s">
        <v>18</v>
      </c>
      <c r="D860">
        <v>23</v>
      </c>
      <c r="E860">
        <v>80</v>
      </c>
      <c r="F860">
        <v>0.11</v>
      </c>
      <c r="G860" t="s">
        <v>12</v>
      </c>
    </row>
    <row r="861" spans="1:7" x14ac:dyDescent="0.3">
      <c r="A861">
        <v>43303</v>
      </c>
      <c r="B861" t="s">
        <v>7</v>
      </c>
      <c r="C861" t="s">
        <v>18</v>
      </c>
      <c r="D861">
        <v>21</v>
      </c>
      <c r="E861">
        <v>80</v>
      </c>
      <c r="F861">
        <v>0.05</v>
      </c>
      <c r="G861" t="s">
        <v>14</v>
      </c>
    </row>
    <row r="862" spans="1:7" x14ac:dyDescent="0.3">
      <c r="A862">
        <v>43303</v>
      </c>
      <c r="B862" t="s">
        <v>20</v>
      </c>
      <c r="C862" t="s">
        <v>16</v>
      </c>
      <c r="D862">
        <v>3</v>
      </c>
      <c r="E862">
        <v>16</v>
      </c>
      <c r="F862">
        <v>0.05</v>
      </c>
      <c r="G862" t="s">
        <v>15</v>
      </c>
    </row>
    <row r="863" spans="1:7" x14ac:dyDescent="0.3">
      <c r="A863">
        <v>43303</v>
      </c>
      <c r="B863" t="s">
        <v>20</v>
      </c>
      <c r="C863" t="s">
        <v>11</v>
      </c>
      <c r="D863">
        <v>21</v>
      </c>
      <c r="E863">
        <v>16</v>
      </c>
      <c r="F863">
        <v>0.02</v>
      </c>
      <c r="G863" t="s">
        <v>17</v>
      </c>
    </row>
    <row r="864" spans="1:7" x14ac:dyDescent="0.3">
      <c r="A864">
        <v>43303</v>
      </c>
      <c r="B864" t="s">
        <v>7</v>
      </c>
      <c r="C864" t="s">
        <v>18</v>
      </c>
      <c r="D864">
        <v>4</v>
      </c>
      <c r="E864">
        <v>80</v>
      </c>
      <c r="F864">
        <v>0.11</v>
      </c>
      <c r="G864" t="s">
        <v>19</v>
      </c>
    </row>
    <row r="865" spans="1:7" x14ac:dyDescent="0.3">
      <c r="A865">
        <v>43303</v>
      </c>
      <c r="B865" t="s">
        <v>23</v>
      </c>
      <c r="C865" t="s">
        <v>21</v>
      </c>
      <c r="D865">
        <v>23</v>
      </c>
      <c r="E865">
        <v>150</v>
      </c>
      <c r="F865">
        <v>0.08</v>
      </c>
      <c r="G865" t="s">
        <v>12</v>
      </c>
    </row>
    <row r="866" spans="1:7" x14ac:dyDescent="0.3">
      <c r="A866">
        <v>43303</v>
      </c>
      <c r="B866" t="s">
        <v>20</v>
      </c>
      <c r="C866" t="s">
        <v>21</v>
      </c>
      <c r="D866">
        <v>23</v>
      </c>
      <c r="E866">
        <v>16</v>
      </c>
      <c r="F866">
        <v>0.01</v>
      </c>
      <c r="G866" t="s">
        <v>14</v>
      </c>
    </row>
    <row r="867" spans="1:7" x14ac:dyDescent="0.3">
      <c r="A867">
        <v>43303</v>
      </c>
      <c r="B867" t="s">
        <v>10</v>
      </c>
      <c r="C867" t="s">
        <v>18</v>
      </c>
      <c r="D867">
        <v>22</v>
      </c>
      <c r="E867">
        <v>40</v>
      </c>
      <c r="F867">
        <v>0.01</v>
      </c>
      <c r="G867" t="s">
        <v>15</v>
      </c>
    </row>
    <row r="868" spans="1:7" x14ac:dyDescent="0.3">
      <c r="A868">
        <v>43304</v>
      </c>
      <c r="B868" t="s">
        <v>23</v>
      </c>
      <c r="C868" t="s">
        <v>8</v>
      </c>
      <c r="D868">
        <v>8</v>
      </c>
      <c r="E868">
        <v>150</v>
      </c>
      <c r="F868">
        <v>0.09</v>
      </c>
      <c r="G868" t="s">
        <v>17</v>
      </c>
    </row>
    <row r="869" spans="1:7" x14ac:dyDescent="0.3">
      <c r="A869">
        <v>43304</v>
      </c>
      <c r="B869" t="s">
        <v>23</v>
      </c>
      <c r="C869" t="s">
        <v>8</v>
      </c>
      <c r="D869">
        <v>20</v>
      </c>
      <c r="E869">
        <v>150</v>
      </c>
      <c r="F869">
        <v>0.01</v>
      </c>
      <c r="G869" t="s">
        <v>19</v>
      </c>
    </row>
    <row r="870" spans="1:7" x14ac:dyDescent="0.3">
      <c r="A870">
        <v>43304</v>
      </c>
      <c r="B870" t="s">
        <v>13</v>
      </c>
      <c r="C870" t="s">
        <v>11</v>
      </c>
      <c r="D870">
        <v>22</v>
      </c>
      <c r="E870">
        <v>230</v>
      </c>
      <c r="F870">
        <v>0.11</v>
      </c>
      <c r="G870" t="s">
        <v>22</v>
      </c>
    </row>
    <row r="871" spans="1:7" x14ac:dyDescent="0.3">
      <c r="A871">
        <v>43304</v>
      </c>
      <c r="B871" t="s">
        <v>20</v>
      </c>
      <c r="C871" t="s">
        <v>16</v>
      </c>
      <c r="D871">
        <v>23</v>
      </c>
      <c r="E871">
        <v>16</v>
      </c>
      <c r="F871">
        <v>0.11</v>
      </c>
      <c r="G871" t="s">
        <v>24</v>
      </c>
    </row>
    <row r="872" spans="1:7" x14ac:dyDescent="0.3">
      <c r="A872">
        <v>43304</v>
      </c>
      <c r="B872" t="s">
        <v>7</v>
      </c>
      <c r="C872" t="s">
        <v>8</v>
      </c>
      <c r="D872">
        <v>6</v>
      </c>
      <c r="E872">
        <v>80</v>
      </c>
      <c r="F872">
        <v>0.01</v>
      </c>
      <c r="G872" t="s">
        <v>25</v>
      </c>
    </row>
    <row r="873" spans="1:7" x14ac:dyDescent="0.3">
      <c r="A873">
        <v>43304</v>
      </c>
      <c r="B873" t="s">
        <v>20</v>
      </c>
      <c r="C873" t="s">
        <v>8</v>
      </c>
      <c r="D873">
        <v>7</v>
      </c>
      <c r="E873">
        <v>16</v>
      </c>
      <c r="F873">
        <v>0.12</v>
      </c>
      <c r="G873" t="s">
        <v>26</v>
      </c>
    </row>
    <row r="874" spans="1:7" x14ac:dyDescent="0.3">
      <c r="A874">
        <v>43304</v>
      </c>
      <c r="B874" t="s">
        <v>7</v>
      </c>
      <c r="C874" t="s">
        <v>11</v>
      </c>
      <c r="D874">
        <v>10</v>
      </c>
      <c r="E874">
        <v>80</v>
      </c>
      <c r="F874">
        <v>0.11</v>
      </c>
      <c r="G874" t="s">
        <v>27</v>
      </c>
    </row>
    <row r="875" spans="1:7" x14ac:dyDescent="0.3">
      <c r="A875">
        <v>43304</v>
      </c>
      <c r="B875" t="s">
        <v>13</v>
      </c>
      <c r="C875" t="s">
        <v>8</v>
      </c>
      <c r="D875">
        <v>9</v>
      </c>
      <c r="E875">
        <v>230</v>
      </c>
      <c r="F875">
        <v>7.0000000000000007E-2</v>
      </c>
      <c r="G875" t="s">
        <v>28</v>
      </c>
    </row>
    <row r="876" spans="1:7" x14ac:dyDescent="0.3">
      <c r="A876">
        <v>43305</v>
      </c>
      <c r="B876" t="s">
        <v>10</v>
      </c>
      <c r="C876" t="s">
        <v>11</v>
      </c>
      <c r="D876">
        <v>12</v>
      </c>
      <c r="E876">
        <v>40</v>
      </c>
      <c r="F876">
        <v>0.1</v>
      </c>
      <c r="G876" t="s">
        <v>9</v>
      </c>
    </row>
    <row r="877" spans="1:7" x14ac:dyDescent="0.3">
      <c r="A877">
        <v>43305</v>
      </c>
      <c r="B877" t="s">
        <v>20</v>
      </c>
      <c r="C877" t="s">
        <v>21</v>
      </c>
      <c r="D877">
        <v>17</v>
      </c>
      <c r="E877">
        <v>16</v>
      </c>
      <c r="F877">
        <v>0.1</v>
      </c>
      <c r="G877" t="s">
        <v>12</v>
      </c>
    </row>
    <row r="878" spans="1:7" x14ac:dyDescent="0.3">
      <c r="A878">
        <v>43305</v>
      </c>
      <c r="B878" t="s">
        <v>23</v>
      </c>
      <c r="C878" t="s">
        <v>16</v>
      </c>
      <c r="D878">
        <v>22</v>
      </c>
      <c r="E878">
        <v>150</v>
      </c>
      <c r="F878">
        <v>0.04</v>
      </c>
      <c r="G878" t="s">
        <v>14</v>
      </c>
    </row>
    <row r="879" spans="1:7" x14ac:dyDescent="0.3">
      <c r="A879">
        <v>43305</v>
      </c>
      <c r="B879" t="s">
        <v>23</v>
      </c>
      <c r="C879" t="s">
        <v>16</v>
      </c>
      <c r="D879">
        <v>11</v>
      </c>
      <c r="E879">
        <v>150</v>
      </c>
      <c r="F879">
        <v>0.05</v>
      </c>
      <c r="G879" t="s">
        <v>15</v>
      </c>
    </row>
    <row r="880" spans="1:7" x14ac:dyDescent="0.3">
      <c r="A880">
        <v>43305</v>
      </c>
      <c r="B880" t="s">
        <v>7</v>
      </c>
      <c r="C880" t="s">
        <v>21</v>
      </c>
      <c r="D880">
        <v>9</v>
      </c>
      <c r="E880">
        <v>80</v>
      </c>
      <c r="F880">
        <v>0.02</v>
      </c>
      <c r="G880" t="s">
        <v>17</v>
      </c>
    </row>
    <row r="881" spans="1:7" x14ac:dyDescent="0.3">
      <c r="A881">
        <v>43305</v>
      </c>
      <c r="B881" t="s">
        <v>7</v>
      </c>
      <c r="C881" t="s">
        <v>21</v>
      </c>
      <c r="D881">
        <v>13</v>
      </c>
      <c r="E881">
        <v>80</v>
      </c>
      <c r="F881">
        <v>0.05</v>
      </c>
      <c r="G881" t="s">
        <v>19</v>
      </c>
    </row>
    <row r="882" spans="1:7" x14ac:dyDescent="0.3">
      <c r="A882">
        <v>43305</v>
      </c>
      <c r="B882" t="s">
        <v>10</v>
      </c>
      <c r="C882" t="s">
        <v>21</v>
      </c>
      <c r="D882">
        <v>20</v>
      </c>
      <c r="E882">
        <v>40</v>
      </c>
      <c r="F882">
        <v>0.1</v>
      </c>
      <c r="G882" t="s">
        <v>12</v>
      </c>
    </row>
    <row r="883" spans="1:7" x14ac:dyDescent="0.3">
      <c r="A883">
        <v>43305</v>
      </c>
      <c r="B883" t="s">
        <v>10</v>
      </c>
      <c r="C883" t="s">
        <v>11</v>
      </c>
      <c r="D883">
        <v>15</v>
      </c>
      <c r="E883">
        <v>40</v>
      </c>
      <c r="F883">
        <v>0.02</v>
      </c>
      <c r="G883" t="s">
        <v>14</v>
      </c>
    </row>
    <row r="884" spans="1:7" x14ac:dyDescent="0.3">
      <c r="A884">
        <v>43306</v>
      </c>
      <c r="B884" t="s">
        <v>23</v>
      </c>
      <c r="C884" t="s">
        <v>21</v>
      </c>
      <c r="D884">
        <v>15</v>
      </c>
      <c r="E884">
        <v>150</v>
      </c>
      <c r="F884">
        <v>7.0000000000000007E-2</v>
      </c>
      <c r="G884" t="s">
        <v>15</v>
      </c>
    </row>
    <row r="885" spans="1:7" x14ac:dyDescent="0.3">
      <c r="A885">
        <v>43306</v>
      </c>
      <c r="B885" t="s">
        <v>7</v>
      </c>
      <c r="C885" t="s">
        <v>21</v>
      </c>
      <c r="D885">
        <v>16</v>
      </c>
      <c r="E885">
        <v>80</v>
      </c>
      <c r="F885">
        <v>0.09</v>
      </c>
      <c r="G885" t="s">
        <v>17</v>
      </c>
    </row>
    <row r="886" spans="1:7" x14ac:dyDescent="0.3">
      <c r="A886">
        <v>43306</v>
      </c>
      <c r="B886" t="s">
        <v>13</v>
      </c>
      <c r="C886" t="s">
        <v>8</v>
      </c>
      <c r="D886">
        <v>16</v>
      </c>
      <c r="E886">
        <v>230</v>
      </c>
      <c r="F886">
        <v>7.0000000000000007E-2</v>
      </c>
      <c r="G886" t="s">
        <v>19</v>
      </c>
    </row>
    <row r="887" spans="1:7" x14ac:dyDescent="0.3">
      <c r="A887">
        <v>43306</v>
      </c>
      <c r="B887" t="s">
        <v>7</v>
      </c>
      <c r="C887" t="s">
        <v>11</v>
      </c>
      <c r="D887">
        <v>14</v>
      </c>
      <c r="E887">
        <v>80</v>
      </c>
      <c r="F887">
        <v>0.11</v>
      </c>
      <c r="G887" t="s">
        <v>22</v>
      </c>
    </row>
    <row r="888" spans="1:7" x14ac:dyDescent="0.3">
      <c r="A888">
        <v>43306</v>
      </c>
      <c r="B888" t="s">
        <v>7</v>
      </c>
      <c r="C888" t="s">
        <v>21</v>
      </c>
      <c r="D888">
        <v>17</v>
      </c>
      <c r="E888">
        <v>80</v>
      </c>
      <c r="F888">
        <v>7.0000000000000007E-2</v>
      </c>
      <c r="G888" t="s">
        <v>24</v>
      </c>
    </row>
    <row r="889" spans="1:7" x14ac:dyDescent="0.3">
      <c r="A889">
        <v>43306</v>
      </c>
      <c r="B889" t="s">
        <v>7</v>
      </c>
      <c r="C889" t="s">
        <v>16</v>
      </c>
      <c r="D889">
        <v>16</v>
      </c>
      <c r="E889">
        <v>80</v>
      </c>
      <c r="F889">
        <v>0.02</v>
      </c>
      <c r="G889" t="s">
        <v>25</v>
      </c>
    </row>
    <row r="890" spans="1:7" x14ac:dyDescent="0.3">
      <c r="A890">
        <v>43306</v>
      </c>
      <c r="B890" t="s">
        <v>20</v>
      </c>
      <c r="C890" t="s">
        <v>8</v>
      </c>
      <c r="D890">
        <v>21</v>
      </c>
      <c r="E890">
        <v>16</v>
      </c>
      <c r="F890">
        <v>0.09</v>
      </c>
      <c r="G890" t="s">
        <v>26</v>
      </c>
    </row>
    <row r="891" spans="1:7" x14ac:dyDescent="0.3">
      <c r="A891">
        <v>43306</v>
      </c>
      <c r="B891" t="s">
        <v>23</v>
      </c>
      <c r="C891" t="s">
        <v>8</v>
      </c>
      <c r="D891">
        <v>9</v>
      </c>
      <c r="E891">
        <v>150</v>
      </c>
      <c r="F891">
        <v>0.1</v>
      </c>
      <c r="G891" t="s">
        <v>27</v>
      </c>
    </row>
    <row r="892" spans="1:7" x14ac:dyDescent="0.3">
      <c r="A892">
        <v>43306</v>
      </c>
      <c r="B892" t="s">
        <v>23</v>
      </c>
      <c r="C892" t="s">
        <v>18</v>
      </c>
      <c r="D892">
        <v>3</v>
      </c>
      <c r="E892">
        <v>150</v>
      </c>
      <c r="F892">
        <v>0.01</v>
      </c>
      <c r="G892" t="s">
        <v>28</v>
      </c>
    </row>
    <row r="893" spans="1:7" x14ac:dyDescent="0.3">
      <c r="A893">
        <v>43307</v>
      </c>
      <c r="B893" t="s">
        <v>7</v>
      </c>
      <c r="C893" t="s">
        <v>11</v>
      </c>
      <c r="D893">
        <v>14</v>
      </c>
      <c r="E893">
        <v>80</v>
      </c>
      <c r="F893">
        <v>0.06</v>
      </c>
      <c r="G893" t="s">
        <v>9</v>
      </c>
    </row>
    <row r="894" spans="1:7" x14ac:dyDescent="0.3">
      <c r="A894">
        <v>43307</v>
      </c>
      <c r="B894" t="s">
        <v>23</v>
      </c>
      <c r="C894" t="s">
        <v>21</v>
      </c>
      <c r="D894">
        <v>4</v>
      </c>
      <c r="E894">
        <v>150</v>
      </c>
      <c r="F894">
        <v>0.05</v>
      </c>
      <c r="G894" t="s">
        <v>12</v>
      </c>
    </row>
    <row r="895" spans="1:7" x14ac:dyDescent="0.3">
      <c r="A895">
        <v>43307</v>
      </c>
      <c r="B895" t="s">
        <v>20</v>
      </c>
      <c r="C895" t="s">
        <v>11</v>
      </c>
      <c r="D895">
        <v>20</v>
      </c>
      <c r="E895">
        <v>16</v>
      </c>
      <c r="F895">
        <v>0.06</v>
      </c>
      <c r="G895" t="s">
        <v>14</v>
      </c>
    </row>
    <row r="896" spans="1:7" x14ac:dyDescent="0.3">
      <c r="A896">
        <v>43307</v>
      </c>
      <c r="B896" t="s">
        <v>13</v>
      </c>
      <c r="C896" t="s">
        <v>16</v>
      </c>
      <c r="D896">
        <v>7</v>
      </c>
      <c r="E896">
        <v>230</v>
      </c>
      <c r="F896">
        <v>0.01</v>
      </c>
      <c r="G896" t="s">
        <v>15</v>
      </c>
    </row>
    <row r="897" spans="1:7" x14ac:dyDescent="0.3">
      <c r="A897">
        <v>43307</v>
      </c>
      <c r="B897" t="s">
        <v>7</v>
      </c>
      <c r="C897" t="s">
        <v>11</v>
      </c>
      <c r="D897">
        <v>9</v>
      </c>
      <c r="E897">
        <v>80</v>
      </c>
      <c r="F897">
        <v>0.03</v>
      </c>
      <c r="G897" t="s">
        <v>17</v>
      </c>
    </row>
    <row r="898" spans="1:7" x14ac:dyDescent="0.3">
      <c r="A898">
        <v>43307</v>
      </c>
      <c r="B898" t="s">
        <v>10</v>
      </c>
      <c r="C898" t="s">
        <v>18</v>
      </c>
      <c r="D898">
        <v>4</v>
      </c>
      <c r="E898">
        <v>40</v>
      </c>
      <c r="F898">
        <v>0.05</v>
      </c>
      <c r="G898" t="s">
        <v>19</v>
      </c>
    </row>
    <row r="899" spans="1:7" x14ac:dyDescent="0.3">
      <c r="A899">
        <v>43307</v>
      </c>
      <c r="B899" t="s">
        <v>7</v>
      </c>
      <c r="C899" t="s">
        <v>8</v>
      </c>
      <c r="D899">
        <v>6</v>
      </c>
      <c r="E899">
        <v>80</v>
      </c>
      <c r="F899">
        <v>7.0000000000000007E-2</v>
      </c>
      <c r="G899" t="s">
        <v>12</v>
      </c>
    </row>
    <row r="900" spans="1:7" x14ac:dyDescent="0.3">
      <c r="A900">
        <v>43307</v>
      </c>
      <c r="B900" t="s">
        <v>20</v>
      </c>
      <c r="C900" t="s">
        <v>16</v>
      </c>
      <c r="D900">
        <v>8</v>
      </c>
      <c r="E900">
        <v>16</v>
      </c>
      <c r="F900">
        <v>0.03</v>
      </c>
      <c r="G900" t="s">
        <v>14</v>
      </c>
    </row>
    <row r="901" spans="1:7" x14ac:dyDescent="0.3">
      <c r="A901">
        <v>43307</v>
      </c>
      <c r="B901" t="s">
        <v>20</v>
      </c>
      <c r="C901" t="s">
        <v>8</v>
      </c>
      <c r="D901">
        <v>10</v>
      </c>
      <c r="E901">
        <v>16</v>
      </c>
      <c r="F901">
        <v>0.08</v>
      </c>
      <c r="G901" t="s">
        <v>15</v>
      </c>
    </row>
    <row r="902" spans="1:7" x14ac:dyDescent="0.3">
      <c r="A902">
        <v>43307</v>
      </c>
      <c r="B902" t="s">
        <v>20</v>
      </c>
      <c r="C902" t="s">
        <v>18</v>
      </c>
      <c r="D902">
        <v>22</v>
      </c>
      <c r="E902">
        <v>16</v>
      </c>
      <c r="F902">
        <v>0.03</v>
      </c>
      <c r="G902" t="s">
        <v>17</v>
      </c>
    </row>
    <row r="903" spans="1:7" x14ac:dyDescent="0.3">
      <c r="A903">
        <v>43307</v>
      </c>
      <c r="B903" t="s">
        <v>7</v>
      </c>
      <c r="C903" t="s">
        <v>18</v>
      </c>
      <c r="D903">
        <v>11</v>
      </c>
      <c r="E903">
        <v>80</v>
      </c>
      <c r="F903">
        <v>0.01</v>
      </c>
      <c r="G903" t="s">
        <v>19</v>
      </c>
    </row>
    <row r="904" spans="1:7" x14ac:dyDescent="0.3">
      <c r="A904">
        <v>43307</v>
      </c>
      <c r="B904" t="s">
        <v>20</v>
      </c>
      <c r="C904" t="s">
        <v>18</v>
      </c>
      <c r="D904">
        <v>7</v>
      </c>
      <c r="E904">
        <v>16</v>
      </c>
      <c r="F904">
        <v>0.08</v>
      </c>
      <c r="G904" t="s">
        <v>22</v>
      </c>
    </row>
    <row r="905" spans="1:7" x14ac:dyDescent="0.3">
      <c r="A905">
        <v>43308</v>
      </c>
      <c r="B905" t="s">
        <v>20</v>
      </c>
      <c r="C905" t="s">
        <v>16</v>
      </c>
      <c r="D905">
        <v>11</v>
      </c>
      <c r="E905">
        <v>16</v>
      </c>
      <c r="F905">
        <v>0.12</v>
      </c>
      <c r="G905" t="s">
        <v>24</v>
      </c>
    </row>
    <row r="906" spans="1:7" x14ac:dyDescent="0.3">
      <c r="A906">
        <v>43308</v>
      </c>
      <c r="B906" t="s">
        <v>10</v>
      </c>
      <c r="C906" t="s">
        <v>21</v>
      </c>
      <c r="D906">
        <v>7</v>
      </c>
      <c r="E906">
        <v>40</v>
      </c>
      <c r="F906">
        <v>0.05</v>
      </c>
      <c r="G906" t="s">
        <v>25</v>
      </c>
    </row>
    <row r="907" spans="1:7" x14ac:dyDescent="0.3">
      <c r="A907">
        <v>43308</v>
      </c>
      <c r="B907" t="s">
        <v>23</v>
      </c>
      <c r="C907" t="s">
        <v>16</v>
      </c>
      <c r="D907">
        <v>9</v>
      </c>
      <c r="E907">
        <v>150</v>
      </c>
      <c r="F907">
        <v>0.06</v>
      </c>
      <c r="G907" t="s">
        <v>26</v>
      </c>
    </row>
    <row r="908" spans="1:7" x14ac:dyDescent="0.3">
      <c r="A908">
        <v>43308</v>
      </c>
      <c r="B908" t="s">
        <v>13</v>
      </c>
      <c r="C908" t="s">
        <v>8</v>
      </c>
      <c r="D908">
        <v>20</v>
      </c>
      <c r="E908">
        <v>230</v>
      </c>
      <c r="F908">
        <v>0.04</v>
      </c>
      <c r="G908" t="s">
        <v>27</v>
      </c>
    </row>
    <row r="909" spans="1:7" x14ac:dyDescent="0.3">
      <c r="A909">
        <v>43308</v>
      </c>
      <c r="B909" t="s">
        <v>23</v>
      </c>
      <c r="C909" t="s">
        <v>16</v>
      </c>
      <c r="D909">
        <v>9</v>
      </c>
      <c r="E909">
        <v>150</v>
      </c>
      <c r="F909">
        <v>0.02</v>
      </c>
      <c r="G909" t="s">
        <v>28</v>
      </c>
    </row>
    <row r="910" spans="1:7" x14ac:dyDescent="0.3">
      <c r="A910">
        <v>43308</v>
      </c>
      <c r="B910" t="s">
        <v>7</v>
      </c>
      <c r="C910" t="s">
        <v>11</v>
      </c>
      <c r="D910">
        <v>5</v>
      </c>
      <c r="E910">
        <v>80</v>
      </c>
      <c r="F910">
        <v>7.0000000000000007E-2</v>
      </c>
      <c r="G910" t="s">
        <v>9</v>
      </c>
    </row>
    <row r="911" spans="1:7" x14ac:dyDescent="0.3">
      <c r="A911">
        <v>43308</v>
      </c>
      <c r="B911" t="s">
        <v>23</v>
      </c>
      <c r="C911" t="s">
        <v>16</v>
      </c>
      <c r="D911">
        <v>20</v>
      </c>
      <c r="E911">
        <v>150</v>
      </c>
      <c r="F911">
        <v>0.04</v>
      </c>
      <c r="G911" t="s">
        <v>12</v>
      </c>
    </row>
    <row r="912" spans="1:7" x14ac:dyDescent="0.3">
      <c r="A912">
        <v>43308</v>
      </c>
      <c r="B912" t="s">
        <v>23</v>
      </c>
      <c r="C912" t="s">
        <v>18</v>
      </c>
      <c r="D912">
        <v>15</v>
      </c>
      <c r="E912">
        <v>150</v>
      </c>
      <c r="F912">
        <v>0.05</v>
      </c>
      <c r="G912" t="s">
        <v>14</v>
      </c>
    </row>
    <row r="913" spans="1:7" x14ac:dyDescent="0.3">
      <c r="A913">
        <v>43308</v>
      </c>
      <c r="B913" t="s">
        <v>7</v>
      </c>
      <c r="C913" t="s">
        <v>8</v>
      </c>
      <c r="D913">
        <v>20</v>
      </c>
      <c r="E913">
        <v>80</v>
      </c>
      <c r="F913">
        <v>0.01</v>
      </c>
      <c r="G913" t="s">
        <v>15</v>
      </c>
    </row>
    <row r="914" spans="1:7" x14ac:dyDescent="0.3">
      <c r="A914">
        <v>43309</v>
      </c>
      <c r="B914" t="s">
        <v>13</v>
      </c>
      <c r="C914" t="s">
        <v>11</v>
      </c>
      <c r="D914">
        <v>12</v>
      </c>
      <c r="E914">
        <v>230</v>
      </c>
      <c r="F914">
        <v>0.03</v>
      </c>
      <c r="G914" t="s">
        <v>17</v>
      </c>
    </row>
    <row r="915" spans="1:7" x14ac:dyDescent="0.3">
      <c r="A915">
        <v>43309</v>
      </c>
      <c r="B915" t="s">
        <v>10</v>
      </c>
      <c r="C915" t="s">
        <v>21</v>
      </c>
      <c r="D915">
        <v>20</v>
      </c>
      <c r="E915">
        <v>40</v>
      </c>
      <c r="F915">
        <v>0.05</v>
      </c>
      <c r="G915" t="s">
        <v>19</v>
      </c>
    </row>
    <row r="916" spans="1:7" x14ac:dyDescent="0.3">
      <c r="A916">
        <v>43309</v>
      </c>
      <c r="B916" t="s">
        <v>10</v>
      </c>
      <c r="C916" t="s">
        <v>21</v>
      </c>
      <c r="D916">
        <v>4</v>
      </c>
      <c r="E916">
        <v>40</v>
      </c>
      <c r="F916">
        <v>0.09</v>
      </c>
      <c r="G916" t="s">
        <v>12</v>
      </c>
    </row>
    <row r="917" spans="1:7" x14ac:dyDescent="0.3">
      <c r="A917">
        <v>43309</v>
      </c>
      <c r="B917" t="s">
        <v>20</v>
      </c>
      <c r="C917" t="s">
        <v>16</v>
      </c>
      <c r="D917">
        <v>6</v>
      </c>
      <c r="E917">
        <v>16</v>
      </c>
      <c r="F917">
        <v>7.0000000000000007E-2</v>
      </c>
      <c r="G917" t="s">
        <v>14</v>
      </c>
    </row>
    <row r="918" spans="1:7" x14ac:dyDescent="0.3">
      <c r="A918">
        <v>43309</v>
      </c>
      <c r="B918" t="s">
        <v>7</v>
      </c>
      <c r="C918" t="s">
        <v>11</v>
      </c>
      <c r="D918">
        <v>13</v>
      </c>
      <c r="E918">
        <v>80</v>
      </c>
      <c r="F918">
        <v>0.06</v>
      </c>
      <c r="G918" t="s">
        <v>15</v>
      </c>
    </row>
    <row r="919" spans="1:7" x14ac:dyDescent="0.3">
      <c r="A919">
        <v>43309</v>
      </c>
      <c r="B919" t="s">
        <v>23</v>
      </c>
      <c r="C919" t="s">
        <v>8</v>
      </c>
      <c r="D919">
        <v>4</v>
      </c>
      <c r="E919">
        <v>150</v>
      </c>
      <c r="F919">
        <v>0.1</v>
      </c>
      <c r="G919" t="s">
        <v>17</v>
      </c>
    </row>
    <row r="920" spans="1:7" x14ac:dyDescent="0.3">
      <c r="A920">
        <v>43309</v>
      </c>
      <c r="B920" t="s">
        <v>23</v>
      </c>
      <c r="C920" t="s">
        <v>18</v>
      </c>
      <c r="D920">
        <v>9</v>
      </c>
      <c r="E920">
        <v>150</v>
      </c>
      <c r="F920">
        <v>0.02</v>
      </c>
      <c r="G920" t="s">
        <v>19</v>
      </c>
    </row>
    <row r="921" spans="1:7" x14ac:dyDescent="0.3">
      <c r="A921">
        <v>43309</v>
      </c>
      <c r="B921" t="s">
        <v>23</v>
      </c>
      <c r="C921" t="s">
        <v>8</v>
      </c>
      <c r="D921">
        <v>11</v>
      </c>
      <c r="E921">
        <v>150</v>
      </c>
      <c r="F921">
        <v>0.05</v>
      </c>
      <c r="G921" t="s">
        <v>22</v>
      </c>
    </row>
    <row r="922" spans="1:7" x14ac:dyDescent="0.3">
      <c r="A922">
        <v>43309</v>
      </c>
      <c r="B922" t="s">
        <v>20</v>
      </c>
      <c r="C922" t="s">
        <v>16</v>
      </c>
      <c r="D922">
        <v>6</v>
      </c>
      <c r="E922">
        <v>16</v>
      </c>
      <c r="F922">
        <v>0.06</v>
      </c>
      <c r="G922" t="s">
        <v>24</v>
      </c>
    </row>
    <row r="923" spans="1:7" x14ac:dyDescent="0.3">
      <c r="A923">
        <v>43310</v>
      </c>
      <c r="B923" t="s">
        <v>13</v>
      </c>
      <c r="C923" t="s">
        <v>16</v>
      </c>
      <c r="D923">
        <v>14</v>
      </c>
      <c r="E923">
        <v>230</v>
      </c>
      <c r="F923">
        <v>0.12</v>
      </c>
      <c r="G923" t="s">
        <v>25</v>
      </c>
    </row>
    <row r="924" spans="1:7" x14ac:dyDescent="0.3">
      <c r="A924">
        <v>43310</v>
      </c>
      <c r="B924" t="s">
        <v>7</v>
      </c>
      <c r="C924" t="s">
        <v>11</v>
      </c>
      <c r="D924">
        <v>15</v>
      </c>
      <c r="E924">
        <v>80</v>
      </c>
      <c r="F924">
        <v>0.12</v>
      </c>
      <c r="G924" t="s">
        <v>26</v>
      </c>
    </row>
    <row r="925" spans="1:7" x14ac:dyDescent="0.3">
      <c r="A925">
        <v>43310</v>
      </c>
      <c r="B925" t="s">
        <v>13</v>
      </c>
      <c r="C925" t="s">
        <v>18</v>
      </c>
      <c r="D925">
        <v>17</v>
      </c>
      <c r="E925">
        <v>230</v>
      </c>
      <c r="F925">
        <v>0.12</v>
      </c>
      <c r="G925" t="s">
        <v>27</v>
      </c>
    </row>
    <row r="926" spans="1:7" x14ac:dyDescent="0.3">
      <c r="A926">
        <v>43310</v>
      </c>
      <c r="B926" t="s">
        <v>23</v>
      </c>
      <c r="C926" t="s">
        <v>8</v>
      </c>
      <c r="D926">
        <v>5</v>
      </c>
      <c r="E926">
        <v>150</v>
      </c>
      <c r="F926">
        <v>0.11</v>
      </c>
      <c r="G926" t="s">
        <v>28</v>
      </c>
    </row>
    <row r="927" spans="1:7" x14ac:dyDescent="0.3">
      <c r="A927">
        <v>43310</v>
      </c>
      <c r="B927" t="s">
        <v>7</v>
      </c>
      <c r="C927" t="s">
        <v>21</v>
      </c>
      <c r="D927">
        <v>10</v>
      </c>
      <c r="E927">
        <v>80</v>
      </c>
      <c r="F927">
        <v>0.06</v>
      </c>
      <c r="G927" t="s">
        <v>9</v>
      </c>
    </row>
    <row r="928" spans="1:7" x14ac:dyDescent="0.3">
      <c r="A928">
        <v>43310</v>
      </c>
      <c r="B928" t="s">
        <v>7</v>
      </c>
      <c r="C928" t="s">
        <v>8</v>
      </c>
      <c r="D928">
        <v>9</v>
      </c>
      <c r="E928">
        <v>80</v>
      </c>
      <c r="F928">
        <v>0.04</v>
      </c>
      <c r="G928" t="s">
        <v>12</v>
      </c>
    </row>
    <row r="929" spans="1:7" x14ac:dyDescent="0.3">
      <c r="A929">
        <v>43310</v>
      </c>
      <c r="B929" t="s">
        <v>10</v>
      </c>
      <c r="C929" t="s">
        <v>21</v>
      </c>
      <c r="D929">
        <v>16</v>
      </c>
      <c r="E929">
        <v>40</v>
      </c>
      <c r="F929">
        <v>0.09</v>
      </c>
      <c r="G929" t="s">
        <v>14</v>
      </c>
    </row>
    <row r="930" spans="1:7" x14ac:dyDescent="0.3">
      <c r="A930">
        <v>43310</v>
      </c>
      <c r="B930" t="s">
        <v>13</v>
      </c>
      <c r="C930" t="s">
        <v>8</v>
      </c>
      <c r="D930">
        <v>7</v>
      </c>
      <c r="E930">
        <v>230</v>
      </c>
      <c r="F930">
        <v>0.08</v>
      </c>
      <c r="G930" t="s">
        <v>15</v>
      </c>
    </row>
    <row r="931" spans="1:7" x14ac:dyDescent="0.3">
      <c r="A931">
        <v>43310</v>
      </c>
      <c r="B931" t="s">
        <v>7</v>
      </c>
      <c r="C931" t="s">
        <v>18</v>
      </c>
      <c r="D931">
        <v>17</v>
      </c>
      <c r="E931">
        <v>80</v>
      </c>
      <c r="F931">
        <v>0.05</v>
      </c>
      <c r="G931" t="s">
        <v>17</v>
      </c>
    </row>
    <row r="932" spans="1:7" x14ac:dyDescent="0.3">
      <c r="A932">
        <v>43310</v>
      </c>
      <c r="B932" t="s">
        <v>13</v>
      </c>
      <c r="C932" t="s">
        <v>8</v>
      </c>
      <c r="D932">
        <v>11</v>
      </c>
      <c r="E932">
        <v>230</v>
      </c>
      <c r="F932">
        <v>0.02</v>
      </c>
      <c r="G932" t="s">
        <v>19</v>
      </c>
    </row>
    <row r="933" spans="1:7" x14ac:dyDescent="0.3">
      <c r="A933">
        <v>43311</v>
      </c>
      <c r="B933" t="s">
        <v>10</v>
      </c>
      <c r="C933" t="s">
        <v>8</v>
      </c>
      <c r="D933">
        <v>15</v>
      </c>
      <c r="E933">
        <v>40</v>
      </c>
      <c r="F933">
        <v>0.06</v>
      </c>
      <c r="G933" t="s">
        <v>12</v>
      </c>
    </row>
    <row r="934" spans="1:7" x14ac:dyDescent="0.3">
      <c r="A934">
        <v>43312</v>
      </c>
      <c r="B934" t="s">
        <v>13</v>
      </c>
      <c r="C934" t="s">
        <v>8</v>
      </c>
      <c r="D934">
        <v>7</v>
      </c>
      <c r="E934">
        <v>230</v>
      </c>
      <c r="F934">
        <v>0.02</v>
      </c>
      <c r="G934" t="s">
        <v>14</v>
      </c>
    </row>
    <row r="935" spans="1:7" x14ac:dyDescent="0.3">
      <c r="A935">
        <v>43312</v>
      </c>
      <c r="B935" t="s">
        <v>7</v>
      </c>
      <c r="C935" t="s">
        <v>16</v>
      </c>
      <c r="D935">
        <v>20</v>
      </c>
      <c r="E935">
        <v>80</v>
      </c>
      <c r="F935">
        <v>7.0000000000000007E-2</v>
      </c>
      <c r="G935" t="s">
        <v>15</v>
      </c>
    </row>
    <row r="936" spans="1:7" x14ac:dyDescent="0.3">
      <c r="A936">
        <v>43312</v>
      </c>
      <c r="B936" t="s">
        <v>7</v>
      </c>
      <c r="C936" t="s">
        <v>11</v>
      </c>
      <c r="D936">
        <v>3</v>
      </c>
      <c r="E936">
        <v>80</v>
      </c>
      <c r="F936">
        <v>0.02</v>
      </c>
      <c r="G936" t="s">
        <v>17</v>
      </c>
    </row>
    <row r="937" spans="1:7" x14ac:dyDescent="0.3">
      <c r="A937">
        <v>43312</v>
      </c>
      <c r="B937" t="s">
        <v>23</v>
      </c>
      <c r="C937" t="s">
        <v>16</v>
      </c>
      <c r="D937">
        <v>2</v>
      </c>
      <c r="E937">
        <v>150</v>
      </c>
      <c r="F937">
        <v>0.02</v>
      </c>
      <c r="G937" t="s">
        <v>19</v>
      </c>
    </row>
    <row r="938" spans="1:7" x14ac:dyDescent="0.3">
      <c r="A938">
        <v>43312</v>
      </c>
      <c r="B938" t="s">
        <v>23</v>
      </c>
      <c r="C938" t="s">
        <v>16</v>
      </c>
      <c r="D938">
        <v>22</v>
      </c>
      <c r="E938">
        <v>150</v>
      </c>
      <c r="F938">
        <v>0.09</v>
      </c>
      <c r="G938" t="s">
        <v>22</v>
      </c>
    </row>
    <row r="939" spans="1:7" x14ac:dyDescent="0.3">
      <c r="A939">
        <v>43312</v>
      </c>
      <c r="B939" t="s">
        <v>13</v>
      </c>
      <c r="C939" t="s">
        <v>8</v>
      </c>
      <c r="D939">
        <v>5</v>
      </c>
      <c r="E939">
        <v>230</v>
      </c>
      <c r="F939">
        <v>0.1</v>
      </c>
      <c r="G939" t="s">
        <v>24</v>
      </c>
    </row>
    <row r="940" spans="1:7" x14ac:dyDescent="0.3">
      <c r="A940">
        <v>43312</v>
      </c>
      <c r="B940" t="s">
        <v>20</v>
      </c>
      <c r="C940" t="s">
        <v>21</v>
      </c>
      <c r="D940">
        <v>12</v>
      </c>
      <c r="E940">
        <v>16</v>
      </c>
      <c r="F940">
        <v>0.04</v>
      </c>
      <c r="G940" t="s">
        <v>25</v>
      </c>
    </row>
    <row r="941" spans="1:7" x14ac:dyDescent="0.3">
      <c r="A941">
        <v>43312</v>
      </c>
      <c r="B941" t="s">
        <v>10</v>
      </c>
      <c r="C941" t="s">
        <v>18</v>
      </c>
      <c r="D941">
        <v>6</v>
      </c>
      <c r="E941">
        <v>40</v>
      </c>
      <c r="F941">
        <v>7.0000000000000007E-2</v>
      </c>
      <c r="G941" t="s">
        <v>26</v>
      </c>
    </row>
    <row r="942" spans="1:7" x14ac:dyDescent="0.3">
      <c r="A942">
        <v>43312</v>
      </c>
      <c r="B942" t="s">
        <v>20</v>
      </c>
      <c r="C942" t="s">
        <v>21</v>
      </c>
      <c r="D942">
        <v>15</v>
      </c>
      <c r="E942">
        <v>16</v>
      </c>
      <c r="F942">
        <v>0.01</v>
      </c>
      <c r="G942" t="s">
        <v>27</v>
      </c>
    </row>
    <row r="943" spans="1:7" x14ac:dyDescent="0.3">
      <c r="A943">
        <v>43282</v>
      </c>
      <c r="B943" t="s">
        <v>23</v>
      </c>
      <c r="C943" t="s">
        <v>21</v>
      </c>
      <c r="D943">
        <v>13</v>
      </c>
      <c r="E943">
        <v>150</v>
      </c>
      <c r="F943">
        <v>0.11</v>
      </c>
      <c r="G943" t="s">
        <v>28</v>
      </c>
    </row>
    <row r="944" spans="1:7" x14ac:dyDescent="0.3">
      <c r="A944">
        <v>43282</v>
      </c>
      <c r="B944" t="s">
        <v>10</v>
      </c>
      <c r="C944" t="s">
        <v>11</v>
      </c>
      <c r="D944">
        <v>8</v>
      </c>
      <c r="E944">
        <v>40</v>
      </c>
      <c r="F944">
        <v>0.09</v>
      </c>
      <c r="G944" t="s">
        <v>9</v>
      </c>
    </row>
    <row r="945" spans="1:7" x14ac:dyDescent="0.3">
      <c r="A945">
        <v>43282</v>
      </c>
      <c r="B945" t="s">
        <v>10</v>
      </c>
      <c r="C945" t="s">
        <v>18</v>
      </c>
      <c r="D945">
        <v>7</v>
      </c>
      <c r="E945">
        <v>40</v>
      </c>
      <c r="F945">
        <v>7.0000000000000007E-2</v>
      </c>
      <c r="G945" t="s">
        <v>12</v>
      </c>
    </row>
    <row r="946" spans="1:7" x14ac:dyDescent="0.3">
      <c r="A946">
        <v>43282</v>
      </c>
      <c r="B946" t="s">
        <v>10</v>
      </c>
      <c r="C946" t="s">
        <v>11</v>
      </c>
      <c r="D946">
        <v>18</v>
      </c>
      <c r="E946">
        <v>40</v>
      </c>
      <c r="F946">
        <v>0.08</v>
      </c>
      <c r="G946" t="s">
        <v>14</v>
      </c>
    </row>
    <row r="947" spans="1:7" x14ac:dyDescent="0.3">
      <c r="A947">
        <v>43282</v>
      </c>
      <c r="B947" t="s">
        <v>13</v>
      </c>
      <c r="C947" t="s">
        <v>18</v>
      </c>
      <c r="D947">
        <v>19</v>
      </c>
      <c r="E947">
        <v>230</v>
      </c>
      <c r="F947">
        <v>0.06</v>
      </c>
      <c r="G947" t="s">
        <v>15</v>
      </c>
    </row>
    <row r="948" spans="1:7" x14ac:dyDescent="0.3">
      <c r="A948">
        <v>43282</v>
      </c>
      <c r="B948" t="s">
        <v>23</v>
      </c>
      <c r="C948" t="s">
        <v>8</v>
      </c>
      <c r="D948">
        <v>4</v>
      </c>
      <c r="E948">
        <v>150</v>
      </c>
      <c r="F948">
        <v>0.1</v>
      </c>
      <c r="G948" t="s">
        <v>17</v>
      </c>
    </row>
    <row r="949" spans="1:7" x14ac:dyDescent="0.3">
      <c r="A949">
        <v>43283</v>
      </c>
      <c r="B949" t="s">
        <v>7</v>
      </c>
      <c r="C949" t="s">
        <v>21</v>
      </c>
      <c r="D949">
        <v>9</v>
      </c>
      <c r="E949">
        <v>80</v>
      </c>
      <c r="F949">
        <v>0.06</v>
      </c>
      <c r="G949" t="s">
        <v>19</v>
      </c>
    </row>
    <row r="950" spans="1:7" x14ac:dyDescent="0.3">
      <c r="A950">
        <v>43283</v>
      </c>
      <c r="B950" t="s">
        <v>7</v>
      </c>
      <c r="C950" t="s">
        <v>16</v>
      </c>
      <c r="D950">
        <v>16</v>
      </c>
      <c r="E950">
        <v>80</v>
      </c>
      <c r="F950">
        <v>0.02</v>
      </c>
      <c r="G950" t="s">
        <v>12</v>
      </c>
    </row>
    <row r="951" spans="1:7" x14ac:dyDescent="0.3">
      <c r="A951">
        <v>43283</v>
      </c>
      <c r="B951" t="s">
        <v>13</v>
      </c>
      <c r="C951" t="s">
        <v>11</v>
      </c>
      <c r="D951">
        <v>15</v>
      </c>
      <c r="E951">
        <v>230</v>
      </c>
      <c r="F951">
        <v>0.09</v>
      </c>
      <c r="G951" t="s">
        <v>14</v>
      </c>
    </row>
    <row r="952" spans="1:7" x14ac:dyDescent="0.3">
      <c r="A952">
        <v>43283</v>
      </c>
      <c r="B952" t="s">
        <v>20</v>
      </c>
      <c r="C952" t="s">
        <v>21</v>
      </c>
      <c r="D952">
        <v>15</v>
      </c>
      <c r="E952">
        <v>16</v>
      </c>
      <c r="F952">
        <v>0.01</v>
      </c>
      <c r="G952" t="s">
        <v>15</v>
      </c>
    </row>
    <row r="953" spans="1:7" x14ac:dyDescent="0.3">
      <c r="A953">
        <v>43283</v>
      </c>
      <c r="B953" t="s">
        <v>13</v>
      </c>
      <c r="C953" t="s">
        <v>8</v>
      </c>
      <c r="D953">
        <v>7</v>
      </c>
      <c r="E953">
        <v>230</v>
      </c>
      <c r="F953">
        <v>0.02</v>
      </c>
      <c r="G953" t="s">
        <v>17</v>
      </c>
    </row>
    <row r="954" spans="1:7" x14ac:dyDescent="0.3">
      <c r="A954">
        <v>43283</v>
      </c>
      <c r="B954" t="s">
        <v>20</v>
      </c>
      <c r="C954" t="s">
        <v>16</v>
      </c>
      <c r="D954">
        <v>23</v>
      </c>
      <c r="E954">
        <v>16</v>
      </c>
      <c r="F954">
        <v>0.11</v>
      </c>
      <c r="G954" t="s">
        <v>19</v>
      </c>
    </row>
    <row r="955" spans="1:7" x14ac:dyDescent="0.3">
      <c r="A955">
        <v>43283</v>
      </c>
      <c r="B955" t="s">
        <v>10</v>
      </c>
      <c r="C955" t="s">
        <v>21</v>
      </c>
      <c r="D955">
        <v>20</v>
      </c>
      <c r="E955">
        <v>40</v>
      </c>
      <c r="F955">
        <v>0.05</v>
      </c>
      <c r="G955" t="s">
        <v>22</v>
      </c>
    </row>
    <row r="956" spans="1:7" x14ac:dyDescent="0.3">
      <c r="A956">
        <v>43284</v>
      </c>
      <c r="B956" t="s">
        <v>13</v>
      </c>
      <c r="C956" t="s">
        <v>11</v>
      </c>
      <c r="D956">
        <v>9</v>
      </c>
      <c r="E956">
        <v>230</v>
      </c>
      <c r="F956">
        <v>0.03</v>
      </c>
      <c r="G956" t="s">
        <v>24</v>
      </c>
    </row>
    <row r="957" spans="1:7" x14ac:dyDescent="0.3">
      <c r="A957">
        <v>43284</v>
      </c>
      <c r="B957" t="s">
        <v>10</v>
      </c>
      <c r="C957" t="s">
        <v>18</v>
      </c>
      <c r="D957">
        <v>23</v>
      </c>
      <c r="E957">
        <v>40</v>
      </c>
      <c r="F957">
        <v>0.06</v>
      </c>
      <c r="G957" t="s">
        <v>25</v>
      </c>
    </row>
    <row r="958" spans="1:7" x14ac:dyDescent="0.3">
      <c r="A958">
        <v>43284</v>
      </c>
      <c r="B958" t="s">
        <v>10</v>
      </c>
      <c r="C958" t="s">
        <v>18</v>
      </c>
      <c r="D958">
        <v>4</v>
      </c>
      <c r="E958">
        <v>40</v>
      </c>
      <c r="F958">
        <v>0.05</v>
      </c>
      <c r="G958" t="s">
        <v>26</v>
      </c>
    </row>
    <row r="959" spans="1:7" x14ac:dyDescent="0.3">
      <c r="A959">
        <v>43284</v>
      </c>
      <c r="B959" t="s">
        <v>23</v>
      </c>
      <c r="C959" t="s">
        <v>8</v>
      </c>
      <c r="D959">
        <v>13</v>
      </c>
      <c r="E959">
        <v>150</v>
      </c>
      <c r="F959">
        <v>0.05</v>
      </c>
      <c r="G959" t="s">
        <v>27</v>
      </c>
    </row>
    <row r="960" spans="1:7" x14ac:dyDescent="0.3">
      <c r="A960">
        <v>43284</v>
      </c>
      <c r="B960" t="s">
        <v>13</v>
      </c>
      <c r="C960" t="s">
        <v>11</v>
      </c>
      <c r="D960">
        <v>7</v>
      </c>
      <c r="E960">
        <v>230</v>
      </c>
      <c r="F960">
        <v>0.01</v>
      </c>
      <c r="G960" t="s">
        <v>28</v>
      </c>
    </row>
    <row r="961" spans="1:7" x14ac:dyDescent="0.3">
      <c r="A961">
        <v>43284</v>
      </c>
      <c r="B961" t="s">
        <v>13</v>
      </c>
      <c r="C961" t="s">
        <v>11</v>
      </c>
      <c r="D961">
        <v>7</v>
      </c>
      <c r="E961">
        <v>230</v>
      </c>
      <c r="F961">
        <v>0.08</v>
      </c>
      <c r="G961" t="s">
        <v>9</v>
      </c>
    </row>
    <row r="962" spans="1:7" x14ac:dyDescent="0.3">
      <c r="A962">
        <v>43284</v>
      </c>
      <c r="B962" t="s">
        <v>13</v>
      </c>
      <c r="C962" t="s">
        <v>16</v>
      </c>
      <c r="D962">
        <v>15</v>
      </c>
      <c r="E962">
        <v>230</v>
      </c>
      <c r="F962">
        <v>0.04</v>
      </c>
      <c r="G962" t="s">
        <v>12</v>
      </c>
    </row>
    <row r="963" spans="1:7" x14ac:dyDescent="0.3">
      <c r="A963">
        <v>43284</v>
      </c>
      <c r="B963" t="s">
        <v>10</v>
      </c>
      <c r="C963" t="s">
        <v>18</v>
      </c>
      <c r="D963">
        <v>15</v>
      </c>
      <c r="E963">
        <v>40</v>
      </c>
      <c r="F963">
        <v>0.03</v>
      </c>
      <c r="G963" t="s">
        <v>14</v>
      </c>
    </row>
    <row r="964" spans="1:7" x14ac:dyDescent="0.3">
      <c r="A964">
        <v>43284</v>
      </c>
      <c r="B964" t="s">
        <v>10</v>
      </c>
      <c r="C964" t="s">
        <v>16</v>
      </c>
      <c r="D964">
        <v>2</v>
      </c>
      <c r="E964">
        <v>40</v>
      </c>
      <c r="F964">
        <v>0.03</v>
      </c>
      <c r="G964" t="s">
        <v>15</v>
      </c>
    </row>
    <row r="965" spans="1:7" x14ac:dyDescent="0.3">
      <c r="A965">
        <v>43284</v>
      </c>
      <c r="B965" t="s">
        <v>23</v>
      </c>
      <c r="C965" t="s">
        <v>16</v>
      </c>
      <c r="D965">
        <v>2</v>
      </c>
      <c r="E965">
        <v>150</v>
      </c>
      <c r="F965">
        <v>0.02</v>
      </c>
      <c r="G965" t="s">
        <v>17</v>
      </c>
    </row>
    <row r="966" spans="1:7" x14ac:dyDescent="0.3">
      <c r="A966">
        <v>43285</v>
      </c>
      <c r="B966" t="s">
        <v>13</v>
      </c>
      <c r="C966" t="s">
        <v>8</v>
      </c>
      <c r="D966">
        <v>3</v>
      </c>
      <c r="E966">
        <v>230</v>
      </c>
      <c r="F966">
        <v>0.11</v>
      </c>
      <c r="G966" t="s">
        <v>19</v>
      </c>
    </row>
    <row r="967" spans="1:7" x14ac:dyDescent="0.3">
      <c r="A967">
        <v>43285</v>
      </c>
      <c r="B967" t="s">
        <v>10</v>
      </c>
      <c r="C967" t="s">
        <v>16</v>
      </c>
      <c r="D967">
        <v>4</v>
      </c>
      <c r="E967">
        <v>40</v>
      </c>
      <c r="F967">
        <v>0.06</v>
      </c>
      <c r="G967" t="s">
        <v>12</v>
      </c>
    </row>
    <row r="968" spans="1:7" x14ac:dyDescent="0.3">
      <c r="A968">
        <v>43285</v>
      </c>
      <c r="B968" t="s">
        <v>10</v>
      </c>
      <c r="C968" t="s">
        <v>18</v>
      </c>
      <c r="D968">
        <v>13</v>
      </c>
      <c r="E968">
        <v>40</v>
      </c>
      <c r="F968">
        <v>0.06</v>
      </c>
      <c r="G968" t="s">
        <v>14</v>
      </c>
    </row>
    <row r="969" spans="1:7" x14ac:dyDescent="0.3">
      <c r="A969">
        <v>43285</v>
      </c>
      <c r="B969" t="s">
        <v>20</v>
      </c>
      <c r="C969" t="s">
        <v>18</v>
      </c>
      <c r="D969">
        <v>15</v>
      </c>
      <c r="E969">
        <v>16</v>
      </c>
      <c r="F969">
        <v>0.12</v>
      </c>
      <c r="G969" t="s">
        <v>15</v>
      </c>
    </row>
    <row r="970" spans="1:7" x14ac:dyDescent="0.3">
      <c r="A970">
        <v>43285</v>
      </c>
      <c r="B970" t="s">
        <v>7</v>
      </c>
      <c r="C970" t="s">
        <v>8</v>
      </c>
      <c r="D970">
        <v>14</v>
      </c>
      <c r="E970">
        <v>80</v>
      </c>
      <c r="F970">
        <v>0.08</v>
      </c>
      <c r="G970" t="s">
        <v>17</v>
      </c>
    </row>
    <row r="971" spans="1:7" x14ac:dyDescent="0.3">
      <c r="A971">
        <v>43285</v>
      </c>
      <c r="B971" t="s">
        <v>20</v>
      </c>
      <c r="C971" t="s">
        <v>8</v>
      </c>
      <c r="D971">
        <v>7</v>
      </c>
      <c r="E971">
        <v>16</v>
      </c>
      <c r="F971">
        <v>0.08</v>
      </c>
      <c r="G971" t="s">
        <v>19</v>
      </c>
    </row>
    <row r="972" spans="1:7" x14ac:dyDescent="0.3">
      <c r="A972">
        <v>43285</v>
      </c>
      <c r="B972" t="s">
        <v>23</v>
      </c>
      <c r="C972" t="s">
        <v>11</v>
      </c>
      <c r="D972">
        <v>13</v>
      </c>
      <c r="E972">
        <v>150</v>
      </c>
      <c r="F972">
        <v>0.02</v>
      </c>
      <c r="G972" t="s">
        <v>22</v>
      </c>
    </row>
    <row r="973" spans="1:7" x14ac:dyDescent="0.3">
      <c r="A973">
        <v>43285</v>
      </c>
      <c r="B973" t="s">
        <v>23</v>
      </c>
      <c r="C973" t="s">
        <v>16</v>
      </c>
      <c r="D973">
        <v>9</v>
      </c>
      <c r="E973">
        <v>150</v>
      </c>
      <c r="F973">
        <v>0.02</v>
      </c>
      <c r="G973" t="s">
        <v>24</v>
      </c>
    </row>
    <row r="974" spans="1:7" x14ac:dyDescent="0.3">
      <c r="A974">
        <v>43285</v>
      </c>
      <c r="B974" t="s">
        <v>10</v>
      </c>
      <c r="C974" t="s">
        <v>8</v>
      </c>
      <c r="D974">
        <v>9</v>
      </c>
      <c r="E974">
        <v>40</v>
      </c>
      <c r="F974">
        <v>0.01</v>
      </c>
      <c r="G974" t="s">
        <v>25</v>
      </c>
    </row>
    <row r="975" spans="1:7" x14ac:dyDescent="0.3">
      <c r="A975">
        <v>43286</v>
      </c>
      <c r="B975" t="s">
        <v>7</v>
      </c>
      <c r="C975" t="s">
        <v>21</v>
      </c>
      <c r="D975">
        <v>9</v>
      </c>
      <c r="E975">
        <v>80</v>
      </c>
      <c r="F975">
        <v>7.0000000000000007E-2</v>
      </c>
      <c r="G975" t="s">
        <v>26</v>
      </c>
    </row>
    <row r="976" spans="1:7" x14ac:dyDescent="0.3">
      <c r="A976">
        <v>43286</v>
      </c>
      <c r="B976" t="s">
        <v>13</v>
      </c>
      <c r="C976" t="s">
        <v>11</v>
      </c>
      <c r="D976">
        <v>22</v>
      </c>
      <c r="E976">
        <v>230</v>
      </c>
      <c r="F976">
        <v>0.11</v>
      </c>
      <c r="G976" t="s">
        <v>27</v>
      </c>
    </row>
    <row r="977" spans="1:7" x14ac:dyDescent="0.3">
      <c r="A977">
        <v>43286</v>
      </c>
      <c r="B977" t="s">
        <v>23</v>
      </c>
      <c r="C977" t="s">
        <v>11</v>
      </c>
      <c r="D977">
        <v>15</v>
      </c>
      <c r="E977">
        <v>150</v>
      </c>
      <c r="F977">
        <v>0.02</v>
      </c>
      <c r="G977" t="s">
        <v>28</v>
      </c>
    </row>
    <row r="978" spans="1:7" x14ac:dyDescent="0.3">
      <c r="A978">
        <v>43286</v>
      </c>
      <c r="B978" t="s">
        <v>13</v>
      </c>
      <c r="C978" t="s">
        <v>21</v>
      </c>
      <c r="D978">
        <v>5</v>
      </c>
      <c r="E978">
        <v>230</v>
      </c>
      <c r="F978">
        <v>0.12</v>
      </c>
      <c r="G978" t="s">
        <v>9</v>
      </c>
    </row>
    <row r="979" spans="1:7" x14ac:dyDescent="0.3">
      <c r="A979">
        <v>43286</v>
      </c>
      <c r="B979" t="s">
        <v>10</v>
      </c>
      <c r="C979" t="s">
        <v>16</v>
      </c>
      <c r="D979">
        <v>20</v>
      </c>
      <c r="E979">
        <v>40</v>
      </c>
      <c r="F979">
        <v>0.01</v>
      </c>
      <c r="G979" t="s">
        <v>12</v>
      </c>
    </row>
    <row r="980" spans="1:7" x14ac:dyDescent="0.3">
      <c r="A980">
        <v>43286</v>
      </c>
      <c r="B980" t="s">
        <v>10</v>
      </c>
      <c r="C980" t="s">
        <v>8</v>
      </c>
      <c r="D980">
        <v>23</v>
      </c>
      <c r="E980">
        <v>40</v>
      </c>
      <c r="F980">
        <v>0.03</v>
      </c>
      <c r="G980" t="s">
        <v>14</v>
      </c>
    </row>
    <row r="981" spans="1:7" x14ac:dyDescent="0.3">
      <c r="A981">
        <v>43286</v>
      </c>
      <c r="B981" t="s">
        <v>7</v>
      </c>
      <c r="C981" t="s">
        <v>21</v>
      </c>
      <c r="D981">
        <v>16</v>
      </c>
      <c r="E981">
        <v>80</v>
      </c>
      <c r="F981">
        <v>0.05</v>
      </c>
      <c r="G981" t="s">
        <v>15</v>
      </c>
    </row>
    <row r="982" spans="1:7" x14ac:dyDescent="0.3">
      <c r="A982">
        <v>43286</v>
      </c>
      <c r="B982" t="s">
        <v>13</v>
      </c>
      <c r="C982" t="s">
        <v>16</v>
      </c>
      <c r="D982">
        <v>18</v>
      </c>
      <c r="E982">
        <v>230</v>
      </c>
      <c r="F982">
        <v>0.01</v>
      </c>
      <c r="G982" t="s">
        <v>17</v>
      </c>
    </row>
    <row r="983" spans="1:7" x14ac:dyDescent="0.3">
      <c r="A983">
        <v>43286</v>
      </c>
      <c r="B983" t="s">
        <v>10</v>
      </c>
      <c r="C983" t="s">
        <v>21</v>
      </c>
      <c r="D983">
        <v>23</v>
      </c>
      <c r="E983">
        <v>40</v>
      </c>
      <c r="F983">
        <v>0.05</v>
      </c>
      <c r="G983" t="s">
        <v>19</v>
      </c>
    </row>
    <row r="984" spans="1:7" x14ac:dyDescent="0.3">
      <c r="A984">
        <v>43286</v>
      </c>
      <c r="B984" t="s">
        <v>20</v>
      </c>
      <c r="C984" t="s">
        <v>18</v>
      </c>
      <c r="D984">
        <v>5</v>
      </c>
      <c r="E984">
        <v>16</v>
      </c>
      <c r="F984">
        <v>0.09</v>
      </c>
      <c r="G984" t="s">
        <v>12</v>
      </c>
    </row>
    <row r="985" spans="1:7" x14ac:dyDescent="0.3">
      <c r="A985">
        <v>43286</v>
      </c>
      <c r="B985" t="s">
        <v>10</v>
      </c>
      <c r="C985" t="s">
        <v>8</v>
      </c>
      <c r="D985">
        <v>22</v>
      </c>
      <c r="E985">
        <v>40</v>
      </c>
      <c r="F985">
        <v>0.02</v>
      </c>
      <c r="G985" t="s">
        <v>14</v>
      </c>
    </row>
    <row r="986" spans="1:7" x14ac:dyDescent="0.3">
      <c r="A986">
        <v>43287</v>
      </c>
      <c r="B986" t="s">
        <v>23</v>
      </c>
      <c r="C986" t="s">
        <v>8</v>
      </c>
      <c r="D986">
        <v>23</v>
      </c>
      <c r="E986">
        <v>150</v>
      </c>
      <c r="F986">
        <v>0.1</v>
      </c>
      <c r="G986" t="s">
        <v>15</v>
      </c>
    </row>
    <row r="987" spans="1:7" x14ac:dyDescent="0.3">
      <c r="A987">
        <v>43287</v>
      </c>
      <c r="B987" t="s">
        <v>13</v>
      </c>
      <c r="C987" t="s">
        <v>11</v>
      </c>
      <c r="D987">
        <v>22</v>
      </c>
      <c r="E987">
        <v>230</v>
      </c>
      <c r="F987">
        <v>0.04</v>
      </c>
      <c r="G987" t="s">
        <v>17</v>
      </c>
    </row>
    <row r="988" spans="1:7" x14ac:dyDescent="0.3">
      <c r="A988">
        <v>43287</v>
      </c>
      <c r="B988" t="s">
        <v>7</v>
      </c>
      <c r="C988" t="s">
        <v>18</v>
      </c>
      <c r="D988">
        <v>16</v>
      </c>
      <c r="E988">
        <v>80</v>
      </c>
      <c r="F988">
        <v>7.0000000000000007E-2</v>
      </c>
      <c r="G988" t="s">
        <v>19</v>
      </c>
    </row>
    <row r="989" spans="1:7" x14ac:dyDescent="0.3">
      <c r="A989">
        <v>43287</v>
      </c>
      <c r="B989" t="s">
        <v>23</v>
      </c>
      <c r="C989" t="s">
        <v>16</v>
      </c>
      <c r="D989">
        <v>22</v>
      </c>
      <c r="E989">
        <v>150</v>
      </c>
      <c r="F989">
        <v>0.09</v>
      </c>
      <c r="G989" t="s">
        <v>22</v>
      </c>
    </row>
    <row r="990" spans="1:7" x14ac:dyDescent="0.3">
      <c r="A990">
        <v>43287</v>
      </c>
      <c r="B990" t="s">
        <v>7</v>
      </c>
      <c r="C990" t="s">
        <v>16</v>
      </c>
      <c r="D990">
        <v>5</v>
      </c>
      <c r="E990">
        <v>80</v>
      </c>
      <c r="F990">
        <v>0.09</v>
      </c>
      <c r="G990" t="s">
        <v>24</v>
      </c>
    </row>
    <row r="991" spans="1:7" x14ac:dyDescent="0.3">
      <c r="A991">
        <v>43287</v>
      </c>
      <c r="B991" t="s">
        <v>7</v>
      </c>
      <c r="C991" t="s">
        <v>18</v>
      </c>
      <c r="D991">
        <v>16</v>
      </c>
      <c r="E991">
        <v>80</v>
      </c>
      <c r="F991">
        <v>0.1</v>
      </c>
      <c r="G991" t="s">
        <v>25</v>
      </c>
    </row>
    <row r="992" spans="1:7" x14ac:dyDescent="0.3">
      <c r="A992">
        <v>43287</v>
      </c>
      <c r="B992" t="s">
        <v>23</v>
      </c>
      <c r="C992" t="s">
        <v>11</v>
      </c>
      <c r="D992">
        <v>23</v>
      </c>
      <c r="E992">
        <v>150</v>
      </c>
      <c r="F992">
        <v>0.11</v>
      </c>
      <c r="G992" t="s">
        <v>26</v>
      </c>
    </row>
    <row r="993" spans="1:7" x14ac:dyDescent="0.3">
      <c r="A993">
        <v>43287</v>
      </c>
      <c r="B993" t="s">
        <v>20</v>
      </c>
      <c r="C993" t="s">
        <v>11</v>
      </c>
      <c r="D993">
        <v>4</v>
      </c>
      <c r="E993">
        <v>16</v>
      </c>
      <c r="F993">
        <v>0.09</v>
      </c>
      <c r="G993" t="s">
        <v>27</v>
      </c>
    </row>
    <row r="994" spans="1:7" x14ac:dyDescent="0.3">
      <c r="A994">
        <v>43287</v>
      </c>
      <c r="B994" t="s">
        <v>20</v>
      </c>
      <c r="C994" t="s">
        <v>11</v>
      </c>
      <c r="D994">
        <v>4</v>
      </c>
      <c r="E994">
        <v>16</v>
      </c>
      <c r="F994">
        <v>7.0000000000000007E-2</v>
      </c>
      <c r="G994" t="s">
        <v>28</v>
      </c>
    </row>
    <row r="995" spans="1:7" x14ac:dyDescent="0.3">
      <c r="A995">
        <v>43287</v>
      </c>
      <c r="B995" t="s">
        <v>20</v>
      </c>
      <c r="C995" t="s">
        <v>8</v>
      </c>
      <c r="D995">
        <v>16</v>
      </c>
      <c r="E995">
        <v>16</v>
      </c>
      <c r="F995">
        <v>0.03</v>
      </c>
      <c r="G995" t="s">
        <v>9</v>
      </c>
    </row>
    <row r="996" spans="1:7" x14ac:dyDescent="0.3">
      <c r="A996">
        <v>43287</v>
      </c>
      <c r="B996" t="s">
        <v>10</v>
      </c>
      <c r="C996" t="s">
        <v>18</v>
      </c>
      <c r="D996">
        <v>18</v>
      </c>
      <c r="E996">
        <v>40</v>
      </c>
      <c r="F996">
        <v>0.04</v>
      </c>
      <c r="G996" t="s">
        <v>12</v>
      </c>
    </row>
    <row r="997" spans="1:7" x14ac:dyDescent="0.3">
      <c r="A997">
        <v>43287</v>
      </c>
      <c r="B997" t="s">
        <v>7</v>
      </c>
      <c r="C997" t="s">
        <v>18</v>
      </c>
      <c r="D997">
        <v>21</v>
      </c>
      <c r="E997">
        <v>80</v>
      </c>
      <c r="F997">
        <v>0.02</v>
      </c>
      <c r="G997" t="s">
        <v>14</v>
      </c>
    </row>
    <row r="998" spans="1:7" x14ac:dyDescent="0.3">
      <c r="A998">
        <v>43287</v>
      </c>
      <c r="B998" t="s">
        <v>7</v>
      </c>
      <c r="C998" t="s">
        <v>21</v>
      </c>
      <c r="D998">
        <v>10</v>
      </c>
      <c r="E998">
        <v>80</v>
      </c>
      <c r="F998">
        <v>0.06</v>
      </c>
      <c r="G998" t="s">
        <v>15</v>
      </c>
    </row>
    <row r="999" spans="1:7" x14ac:dyDescent="0.3">
      <c r="A999">
        <v>43287</v>
      </c>
      <c r="B999" t="s">
        <v>13</v>
      </c>
      <c r="C999" t="s">
        <v>16</v>
      </c>
      <c r="D999">
        <v>7</v>
      </c>
      <c r="E999">
        <v>230</v>
      </c>
      <c r="F999">
        <v>0.01</v>
      </c>
      <c r="G999" t="s">
        <v>17</v>
      </c>
    </row>
    <row r="1000" spans="1:7" x14ac:dyDescent="0.3">
      <c r="A1000">
        <v>43288</v>
      </c>
      <c r="B1000" t="s">
        <v>20</v>
      </c>
      <c r="C1000" t="s">
        <v>21</v>
      </c>
      <c r="D1000">
        <v>11</v>
      </c>
      <c r="E1000">
        <v>16</v>
      </c>
      <c r="F1000">
        <v>0.12</v>
      </c>
      <c r="G1000" t="s">
        <v>19</v>
      </c>
    </row>
    <row r="1001" spans="1:7" x14ac:dyDescent="0.3">
      <c r="A1001">
        <v>43288</v>
      </c>
      <c r="B1001" t="s">
        <v>7</v>
      </c>
      <c r="C1001" t="s">
        <v>18</v>
      </c>
      <c r="D1001">
        <v>10</v>
      </c>
      <c r="E1001">
        <v>80</v>
      </c>
      <c r="F1001">
        <v>0.1</v>
      </c>
      <c r="G1001" t="s">
        <v>12</v>
      </c>
    </row>
    <row r="1002" spans="1:7" x14ac:dyDescent="0.3">
      <c r="A1002">
        <v>43288</v>
      </c>
      <c r="B1002" t="s">
        <v>10</v>
      </c>
      <c r="C1002" t="s">
        <v>11</v>
      </c>
      <c r="D1002">
        <v>23</v>
      </c>
      <c r="E1002">
        <v>40</v>
      </c>
      <c r="F1002">
        <v>0.06</v>
      </c>
      <c r="G1002" t="s">
        <v>14</v>
      </c>
    </row>
    <row r="1003" spans="1:7" x14ac:dyDescent="0.3">
      <c r="A1003">
        <v>43288</v>
      </c>
      <c r="B1003" t="s">
        <v>23</v>
      </c>
      <c r="C1003" t="s">
        <v>21</v>
      </c>
      <c r="D1003">
        <v>7</v>
      </c>
      <c r="E1003">
        <v>150</v>
      </c>
      <c r="F1003">
        <v>0.02</v>
      </c>
      <c r="G1003" t="s">
        <v>15</v>
      </c>
    </row>
    <row r="1004" spans="1:7" x14ac:dyDescent="0.3">
      <c r="A1004">
        <v>43288</v>
      </c>
      <c r="B1004" t="s">
        <v>7</v>
      </c>
      <c r="C1004" t="s">
        <v>8</v>
      </c>
      <c r="D1004">
        <v>17</v>
      </c>
      <c r="E1004">
        <v>80</v>
      </c>
      <c r="F1004">
        <v>7.0000000000000007E-2</v>
      </c>
      <c r="G1004" t="s">
        <v>17</v>
      </c>
    </row>
    <row r="1005" spans="1:7" x14ac:dyDescent="0.3">
      <c r="A1005">
        <v>43288</v>
      </c>
      <c r="B1005" t="s">
        <v>23</v>
      </c>
      <c r="C1005" t="s">
        <v>11</v>
      </c>
      <c r="D1005">
        <v>20</v>
      </c>
      <c r="E1005">
        <v>150</v>
      </c>
      <c r="F1005">
        <v>0.09</v>
      </c>
      <c r="G1005" t="s">
        <v>19</v>
      </c>
    </row>
    <row r="1006" spans="1:7" x14ac:dyDescent="0.3">
      <c r="A1006">
        <v>43288</v>
      </c>
      <c r="B1006" t="s">
        <v>13</v>
      </c>
      <c r="C1006" t="s">
        <v>18</v>
      </c>
      <c r="D1006">
        <v>23</v>
      </c>
      <c r="E1006">
        <v>230</v>
      </c>
      <c r="F1006">
        <v>0.06</v>
      </c>
      <c r="G1006" t="s">
        <v>22</v>
      </c>
    </row>
    <row r="1007" spans="1:7" x14ac:dyDescent="0.3">
      <c r="A1007">
        <v>43288</v>
      </c>
      <c r="B1007" t="s">
        <v>7</v>
      </c>
      <c r="C1007" t="s">
        <v>11</v>
      </c>
      <c r="D1007">
        <v>16</v>
      </c>
      <c r="E1007">
        <v>80</v>
      </c>
      <c r="F1007">
        <v>0.04</v>
      </c>
      <c r="G1007" t="s">
        <v>24</v>
      </c>
    </row>
    <row r="1008" spans="1:7" x14ac:dyDescent="0.3">
      <c r="A1008">
        <v>43288</v>
      </c>
      <c r="B1008" t="s">
        <v>13</v>
      </c>
      <c r="C1008" t="s">
        <v>21</v>
      </c>
      <c r="D1008">
        <v>22</v>
      </c>
      <c r="E1008">
        <v>230</v>
      </c>
      <c r="F1008">
        <v>0.1</v>
      </c>
      <c r="G1008" t="s">
        <v>25</v>
      </c>
    </row>
    <row r="1009" spans="1:7" x14ac:dyDescent="0.3">
      <c r="A1009">
        <v>43288</v>
      </c>
      <c r="B1009" t="s">
        <v>13</v>
      </c>
      <c r="C1009" t="s">
        <v>16</v>
      </c>
      <c r="D1009">
        <v>15</v>
      </c>
      <c r="E1009">
        <v>230</v>
      </c>
      <c r="F1009">
        <v>0.11</v>
      </c>
      <c r="G1009" t="s">
        <v>26</v>
      </c>
    </row>
    <row r="1010" spans="1:7" x14ac:dyDescent="0.3">
      <c r="A1010">
        <v>43288</v>
      </c>
      <c r="B1010" t="s">
        <v>10</v>
      </c>
      <c r="C1010" t="s">
        <v>11</v>
      </c>
      <c r="D1010">
        <v>15</v>
      </c>
      <c r="E1010">
        <v>40</v>
      </c>
      <c r="F1010">
        <v>0.04</v>
      </c>
      <c r="G1010" t="s">
        <v>27</v>
      </c>
    </row>
    <row r="1011" spans="1:7" x14ac:dyDescent="0.3">
      <c r="A1011">
        <v>43288</v>
      </c>
      <c r="B1011" t="s">
        <v>7</v>
      </c>
      <c r="C1011" t="s">
        <v>11</v>
      </c>
      <c r="D1011">
        <v>2</v>
      </c>
      <c r="E1011">
        <v>80</v>
      </c>
      <c r="F1011">
        <v>7.0000000000000007E-2</v>
      </c>
      <c r="G1011" t="s">
        <v>28</v>
      </c>
    </row>
    <row r="1012" spans="1:7" x14ac:dyDescent="0.3">
      <c r="A1012">
        <v>43289</v>
      </c>
      <c r="B1012" t="s">
        <v>23</v>
      </c>
      <c r="C1012" t="s">
        <v>8</v>
      </c>
      <c r="D1012">
        <v>22</v>
      </c>
      <c r="E1012">
        <v>150</v>
      </c>
      <c r="F1012">
        <v>0.05</v>
      </c>
      <c r="G1012" t="s">
        <v>9</v>
      </c>
    </row>
    <row r="1013" spans="1:7" x14ac:dyDescent="0.3">
      <c r="A1013">
        <v>43289</v>
      </c>
      <c r="B1013" t="s">
        <v>10</v>
      </c>
      <c r="C1013" t="s">
        <v>21</v>
      </c>
      <c r="D1013">
        <v>20</v>
      </c>
      <c r="E1013">
        <v>40</v>
      </c>
      <c r="F1013">
        <v>7.0000000000000007E-2</v>
      </c>
      <c r="G1013" t="s">
        <v>12</v>
      </c>
    </row>
    <row r="1014" spans="1:7" x14ac:dyDescent="0.3">
      <c r="A1014">
        <v>43289</v>
      </c>
      <c r="B1014" t="s">
        <v>13</v>
      </c>
      <c r="C1014" t="s">
        <v>18</v>
      </c>
      <c r="D1014">
        <v>2</v>
      </c>
      <c r="E1014">
        <v>230</v>
      </c>
      <c r="F1014">
        <v>0.09</v>
      </c>
      <c r="G1014" t="s">
        <v>14</v>
      </c>
    </row>
    <row r="1015" spans="1:7" x14ac:dyDescent="0.3">
      <c r="A1015">
        <v>43289</v>
      </c>
      <c r="B1015" t="s">
        <v>10</v>
      </c>
      <c r="C1015" t="s">
        <v>18</v>
      </c>
      <c r="D1015">
        <v>7</v>
      </c>
      <c r="E1015">
        <v>40</v>
      </c>
      <c r="F1015">
        <v>0.11</v>
      </c>
      <c r="G1015" t="s">
        <v>15</v>
      </c>
    </row>
    <row r="1016" spans="1:7" x14ac:dyDescent="0.3">
      <c r="A1016">
        <v>43289</v>
      </c>
      <c r="B1016" t="s">
        <v>7</v>
      </c>
      <c r="C1016" t="s">
        <v>18</v>
      </c>
      <c r="D1016">
        <v>7</v>
      </c>
      <c r="E1016">
        <v>80</v>
      </c>
      <c r="F1016">
        <v>7.0000000000000007E-2</v>
      </c>
      <c r="G1016" t="s">
        <v>17</v>
      </c>
    </row>
    <row r="1017" spans="1:7" x14ac:dyDescent="0.3">
      <c r="A1017">
        <v>43289</v>
      </c>
      <c r="B1017" t="s">
        <v>10</v>
      </c>
      <c r="C1017" t="s">
        <v>18</v>
      </c>
      <c r="D1017">
        <v>9</v>
      </c>
      <c r="E1017">
        <v>40</v>
      </c>
      <c r="F1017">
        <v>0.06</v>
      </c>
      <c r="G1017" t="s">
        <v>19</v>
      </c>
    </row>
    <row r="1018" spans="1:7" x14ac:dyDescent="0.3">
      <c r="A1018">
        <v>43289</v>
      </c>
      <c r="B1018" t="s">
        <v>10</v>
      </c>
      <c r="C1018" t="s">
        <v>8</v>
      </c>
      <c r="D1018">
        <v>18</v>
      </c>
      <c r="E1018">
        <v>40</v>
      </c>
      <c r="F1018">
        <v>0.11</v>
      </c>
      <c r="G1018" t="s">
        <v>12</v>
      </c>
    </row>
    <row r="1019" spans="1:7" x14ac:dyDescent="0.3">
      <c r="A1019">
        <v>43289</v>
      </c>
      <c r="B1019" t="s">
        <v>13</v>
      </c>
      <c r="C1019" t="s">
        <v>8</v>
      </c>
      <c r="D1019">
        <v>20</v>
      </c>
      <c r="E1019">
        <v>230</v>
      </c>
      <c r="F1019">
        <v>0.04</v>
      </c>
      <c r="G1019" t="s">
        <v>14</v>
      </c>
    </row>
    <row r="1020" spans="1:7" x14ac:dyDescent="0.3">
      <c r="A1020">
        <v>43289</v>
      </c>
      <c r="B1020" t="s">
        <v>7</v>
      </c>
      <c r="C1020" t="s">
        <v>16</v>
      </c>
      <c r="D1020">
        <v>23</v>
      </c>
      <c r="E1020">
        <v>80</v>
      </c>
      <c r="F1020">
        <v>0.05</v>
      </c>
      <c r="G1020" t="s">
        <v>15</v>
      </c>
    </row>
    <row r="1021" spans="1:7" x14ac:dyDescent="0.3">
      <c r="A1021">
        <v>43289</v>
      </c>
      <c r="B1021" t="s">
        <v>23</v>
      </c>
      <c r="C1021" t="s">
        <v>21</v>
      </c>
      <c r="D1021">
        <v>11</v>
      </c>
      <c r="E1021">
        <v>150</v>
      </c>
      <c r="F1021">
        <v>0.09</v>
      </c>
      <c r="G1021" t="s">
        <v>17</v>
      </c>
    </row>
    <row r="1022" spans="1:7" x14ac:dyDescent="0.3">
      <c r="A1022">
        <v>43289</v>
      </c>
      <c r="B1022" t="s">
        <v>23</v>
      </c>
      <c r="C1022" t="s">
        <v>8</v>
      </c>
      <c r="D1022">
        <v>17</v>
      </c>
      <c r="E1022">
        <v>150</v>
      </c>
      <c r="F1022">
        <v>0.12</v>
      </c>
      <c r="G1022" t="s">
        <v>19</v>
      </c>
    </row>
    <row r="1023" spans="1:7" x14ac:dyDescent="0.3">
      <c r="A1023">
        <v>43289</v>
      </c>
      <c r="B1023" t="s">
        <v>13</v>
      </c>
      <c r="C1023" t="s">
        <v>21</v>
      </c>
      <c r="D1023">
        <v>2</v>
      </c>
      <c r="E1023">
        <v>230</v>
      </c>
      <c r="F1023">
        <v>0.08</v>
      </c>
      <c r="G1023" t="s">
        <v>22</v>
      </c>
    </row>
    <row r="1024" spans="1:7" x14ac:dyDescent="0.3">
      <c r="A1024">
        <v>43289</v>
      </c>
      <c r="B1024" t="s">
        <v>7</v>
      </c>
      <c r="C1024" t="s">
        <v>16</v>
      </c>
      <c r="D1024">
        <v>10</v>
      </c>
      <c r="E1024">
        <v>80</v>
      </c>
      <c r="F1024">
        <v>0.11</v>
      </c>
      <c r="G1024" t="s">
        <v>24</v>
      </c>
    </row>
    <row r="1025" spans="1:7" x14ac:dyDescent="0.3">
      <c r="A1025">
        <v>43290</v>
      </c>
      <c r="B1025" t="s">
        <v>20</v>
      </c>
      <c r="C1025" t="s">
        <v>18</v>
      </c>
      <c r="D1025">
        <v>22</v>
      </c>
      <c r="E1025">
        <v>16</v>
      </c>
      <c r="F1025">
        <v>0.03</v>
      </c>
      <c r="G1025" t="s">
        <v>25</v>
      </c>
    </row>
    <row r="1026" spans="1:7" x14ac:dyDescent="0.3">
      <c r="A1026">
        <v>43290</v>
      </c>
      <c r="B1026" t="s">
        <v>20</v>
      </c>
      <c r="C1026" t="s">
        <v>16</v>
      </c>
      <c r="D1026">
        <v>9</v>
      </c>
      <c r="E1026">
        <v>16</v>
      </c>
      <c r="F1026">
        <v>0.05</v>
      </c>
      <c r="G1026" t="s">
        <v>26</v>
      </c>
    </row>
    <row r="1027" spans="1:7" x14ac:dyDescent="0.3">
      <c r="A1027">
        <v>43290</v>
      </c>
      <c r="B1027" t="s">
        <v>10</v>
      </c>
      <c r="C1027" t="s">
        <v>16</v>
      </c>
      <c r="D1027">
        <v>4</v>
      </c>
      <c r="E1027">
        <v>40</v>
      </c>
      <c r="F1027">
        <v>0.1</v>
      </c>
      <c r="G1027" t="s">
        <v>27</v>
      </c>
    </row>
    <row r="1028" spans="1:7" x14ac:dyDescent="0.3">
      <c r="A1028">
        <v>43290</v>
      </c>
      <c r="B1028" t="s">
        <v>7</v>
      </c>
      <c r="C1028" t="s">
        <v>21</v>
      </c>
      <c r="D1028">
        <v>9</v>
      </c>
      <c r="E1028">
        <v>80</v>
      </c>
      <c r="F1028">
        <v>0.02</v>
      </c>
      <c r="G1028" t="s">
        <v>28</v>
      </c>
    </row>
    <row r="1029" spans="1:7" x14ac:dyDescent="0.3">
      <c r="A1029">
        <v>43290</v>
      </c>
      <c r="B1029" t="s">
        <v>13</v>
      </c>
      <c r="C1029" t="s">
        <v>16</v>
      </c>
      <c r="D1029">
        <v>6</v>
      </c>
      <c r="E1029">
        <v>230</v>
      </c>
      <c r="F1029">
        <v>0.05</v>
      </c>
      <c r="G1029" t="s">
        <v>9</v>
      </c>
    </row>
    <row r="1030" spans="1:7" x14ac:dyDescent="0.3">
      <c r="A1030">
        <v>43290</v>
      </c>
      <c r="B1030" t="s">
        <v>7</v>
      </c>
      <c r="C1030" t="s">
        <v>18</v>
      </c>
      <c r="D1030">
        <v>14</v>
      </c>
      <c r="E1030">
        <v>80</v>
      </c>
      <c r="F1030">
        <v>0.05</v>
      </c>
      <c r="G1030" t="s">
        <v>12</v>
      </c>
    </row>
    <row r="1031" spans="1:7" x14ac:dyDescent="0.3">
      <c r="A1031">
        <v>43290</v>
      </c>
      <c r="B1031" t="s">
        <v>20</v>
      </c>
      <c r="C1031" t="s">
        <v>21</v>
      </c>
      <c r="D1031">
        <v>17</v>
      </c>
      <c r="E1031">
        <v>16</v>
      </c>
      <c r="F1031">
        <v>0.08</v>
      </c>
      <c r="G1031" t="s">
        <v>14</v>
      </c>
    </row>
    <row r="1032" spans="1:7" x14ac:dyDescent="0.3">
      <c r="A1032">
        <v>43290</v>
      </c>
      <c r="B1032" t="s">
        <v>23</v>
      </c>
      <c r="C1032" t="s">
        <v>11</v>
      </c>
      <c r="D1032">
        <v>22</v>
      </c>
      <c r="E1032">
        <v>150</v>
      </c>
      <c r="F1032">
        <v>0.02</v>
      </c>
      <c r="G1032" t="s">
        <v>15</v>
      </c>
    </row>
    <row r="1033" spans="1:7" x14ac:dyDescent="0.3">
      <c r="A1033">
        <v>43290</v>
      </c>
      <c r="B1033" t="s">
        <v>10</v>
      </c>
      <c r="C1033" t="s">
        <v>21</v>
      </c>
      <c r="D1033">
        <v>17</v>
      </c>
      <c r="E1033">
        <v>40</v>
      </c>
      <c r="F1033">
        <v>0.02</v>
      </c>
      <c r="G1033" t="s">
        <v>17</v>
      </c>
    </row>
    <row r="1034" spans="1:7" x14ac:dyDescent="0.3">
      <c r="A1034">
        <v>43290</v>
      </c>
      <c r="B1034" t="s">
        <v>7</v>
      </c>
      <c r="C1034" t="s">
        <v>21</v>
      </c>
      <c r="D1034">
        <v>17</v>
      </c>
      <c r="E1034">
        <v>80</v>
      </c>
      <c r="F1034">
        <v>7.0000000000000007E-2</v>
      </c>
      <c r="G1034" t="s">
        <v>19</v>
      </c>
    </row>
    <row r="1035" spans="1:7" x14ac:dyDescent="0.3">
      <c r="A1035">
        <v>43290</v>
      </c>
      <c r="B1035" t="s">
        <v>23</v>
      </c>
      <c r="C1035" t="s">
        <v>18</v>
      </c>
      <c r="D1035">
        <v>4</v>
      </c>
      <c r="E1035">
        <v>150</v>
      </c>
      <c r="F1035">
        <v>0.12</v>
      </c>
      <c r="G1035" t="s">
        <v>12</v>
      </c>
    </row>
    <row r="1036" spans="1:7" x14ac:dyDescent="0.3">
      <c r="A1036">
        <v>43290</v>
      </c>
      <c r="B1036" t="s">
        <v>20</v>
      </c>
      <c r="C1036" t="s">
        <v>18</v>
      </c>
      <c r="D1036">
        <v>14</v>
      </c>
      <c r="E1036">
        <v>16</v>
      </c>
      <c r="F1036">
        <v>0.12</v>
      </c>
      <c r="G1036" t="s">
        <v>14</v>
      </c>
    </row>
    <row r="1037" spans="1:7" x14ac:dyDescent="0.3">
      <c r="A1037">
        <v>43290</v>
      </c>
      <c r="B1037" t="s">
        <v>20</v>
      </c>
      <c r="C1037" t="s">
        <v>8</v>
      </c>
      <c r="D1037">
        <v>18</v>
      </c>
      <c r="E1037">
        <v>16</v>
      </c>
      <c r="F1037">
        <v>0.11</v>
      </c>
      <c r="G1037" t="s">
        <v>15</v>
      </c>
    </row>
    <row r="1038" spans="1:7" x14ac:dyDescent="0.3">
      <c r="A1038">
        <v>43290</v>
      </c>
      <c r="B1038" t="s">
        <v>7</v>
      </c>
      <c r="C1038" t="s">
        <v>21</v>
      </c>
      <c r="D1038">
        <v>22</v>
      </c>
      <c r="E1038">
        <v>80</v>
      </c>
      <c r="F1038">
        <v>0.09</v>
      </c>
      <c r="G1038" t="s">
        <v>17</v>
      </c>
    </row>
    <row r="1039" spans="1:7" x14ac:dyDescent="0.3">
      <c r="A1039">
        <v>43290</v>
      </c>
      <c r="B1039" t="s">
        <v>13</v>
      </c>
      <c r="C1039" t="s">
        <v>11</v>
      </c>
      <c r="D1039">
        <v>12</v>
      </c>
      <c r="E1039">
        <v>230</v>
      </c>
      <c r="F1039">
        <v>0.03</v>
      </c>
      <c r="G1039" t="s">
        <v>19</v>
      </c>
    </row>
    <row r="1040" spans="1:7" x14ac:dyDescent="0.3">
      <c r="A1040">
        <v>43290</v>
      </c>
      <c r="B1040" t="s">
        <v>10</v>
      </c>
      <c r="C1040" t="s">
        <v>11</v>
      </c>
      <c r="D1040">
        <v>12</v>
      </c>
      <c r="E1040">
        <v>40</v>
      </c>
      <c r="F1040">
        <v>0.1</v>
      </c>
      <c r="G1040" t="s">
        <v>22</v>
      </c>
    </row>
    <row r="1041" spans="1:7" x14ac:dyDescent="0.3">
      <c r="A1041">
        <v>43291</v>
      </c>
      <c r="B1041" t="s">
        <v>10</v>
      </c>
      <c r="C1041" t="s">
        <v>21</v>
      </c>
      <c r="D1041">
        <v>7</v>
      </c>
      <c r="E1041">
        <v>40</v>
      </c>
      <c r="F1041">
        <v>0.12</v>
      </c>
      <c r="G1041" t="s">
        <v>24</v>
      </c>
    </row>
    <row r="1042" spans="1:7" x14ac:dyDescent="0.3">
      <c r="A1042">
        <v>43291</v>
      </c>
      <c r="B1042" t="s">
        <v>7</v>
      </c>
      <c r="C1042" t="s">
        <v>8</v>
      </c>
      <c r="D1042">
        <v>12</v>
      </c>
      <c r="E1042">
        <v>80</v>
      </c>
      <c r="F1042">
        <v>0.04</v>
      </c>
      <c r="G1042" t="s">
        <v>25</v>
      </c>
    </row>
    <row r="1043" spans="1:7" x14ac:dyDescent="0.3">
      <c r="A1043">
        <v>43291</v>
      </c>
      <c r="B1043" t="s">
        <v>20</v>
      </c>
      <c r="C1043" t="s">
        <v>21</v>
      </c>
      <c r="D1043">
        <v>17</v>
      </c>
      <c r="E1043">
        <v>16</v>
      </c>
      <c r="F1043">
        <v>0.1</v>
      </c>
      <c r="G1043" t="s">
        <v>26</v>
      </c>
    </row>
    <row r="1044" spans="1:7" x14ac:dyDescent="0.3">
      <c r="A1044">
        <v>43291</v>
      </c>
      <c r="B1044" t="s">
        <v>13</v>
      </c>
      <c r="C1044" t="s">
        <v>11</v>
      </c>
      <c r="D1044">
        <v>6</v>
      </c>
      <c r="E1044">
        <v>230</v>
      </c>
      <c r="F1044">
        <v>0.1</v>
      </c>
      <c r="G1044" t="s">
        <v>27</v>
      </c>
    </row>
    <row r="1045" spans="1:7" x14ac:dyDescent="0.3">
      <c r="A1045">
        <v>43291</v>
      </c>
      <c r="B1045" t="s">
        <v>10</v>
      </c>
      <c r="C1045" t="s">
        <v>8</v>
      </c>
      <c r="D1045">
        <v>11</v>
      </c>
      <c r="E1045">
        <v>40</v>
      </c>
      <c r="F1045">
        <v>0.04</v>
      </c>
      <c r="G1045" t="s">
        <v>28</v>
      </c>
    </row>
    <row r="1046" spans="1:7" x14ac:dyDescent="0.3">
      <c r="A1046">
        <v>43291</v>
      </c>
      <c r="B1046" t="s">
        <v>20</v>
      </c>
      <c r="C1046" t="s">
        <v>18</v>
      </c>
      <c r="D1046">
        <v>10</v>
      </c>
      <c r="E1046">
        <v>16</v>
      </c>
      <c r="F1046">
        <v>0.04</v>
      </c>
      <c r="G1046" t="s">
        <v>9</v>
      </c>
    </row>
    <row r="1047" spans="1:7" x14ac:dyDescent="0.3">
      <c r="A1047">
        <v>43291</v>
      </c>
      <c r="B1047" t="s">
        <v>7</v>
      </c>
      <c r="C1047" t="s">
        <v>8</v>
      </c>
      <c r="D1047">
        <v>6</v>
      </c>
      <c r="E1047">
        <v>80</v>
      </c>
      <c r="F1047">
        <v>7.0000000000000007E-2</v>
      </c>
      <c r="G1047" t="s">
        <v>12</v>
      </c>
    </row>
    <row r="1048" spans="1:7" x14ac:dyDescent="0.3">
      <c r="A1048">
        <v>43291</v>
      </c>
      <c r="B1048" t="s">
        <v>10</v>
      </c>
      <c r="C1048" t="s">
        <v>18</v>
      </c>
      <c r="D1048">
        <v>11</v>
      </c>
      <c r="E1048">
        <v>40</v>
      </c>
      <c r="F1048">
        <v>0.09</v>
      </c>
      <c r="G1048" t="s">
        <v>14</v>
      </c>
    </row>
    <row r="1049" spans="1:7" x14ac:dyDescent="0.3">
      <c r="A1049">
        <v>43291</v>
      </c>
      <c r="B1049" t="s">
        <v>7</v>
      </c>
      <c r="C1049" t="s">
        <v>21</v>
      </c>
      <c r="D1049">
        <v>16</v>
      </c>
      <c r="E1049">
        <v>80</v>
      </c>
      <c r="F1049">
        <v>0.09</v>
      </c>
      <c r="G1049" t="s">
        <v>15</v>
      </c>
    </row>
    <row r="1050" spans="1:7" x14ac:dyDescent="0.3">
      <c r="A1050">
        <v>43291</v>
      </c>
      <c r="B1050" t="s">
        <v>10</v>
      </c>
      <c r="C1050" t="s">
        <v>18</v>
      </c>
      <c r="D1050">
        <v>13</v>
      </c>
      <c r="E1050">
        <v>40</v>
      </c>
      <c r="F1050">
        <v>0.09</v>
      </c>
      <c r="G1050" t="s">
        <v>17</v>
      </c>
    </row>
    <row r="1051" spans="1:7" x14ac:dyDescent="0.3">
      <c r="A1051">
        <v>43291</v>
      </c>
      <c r="B1051" t="s">
        <v>13</v>
      </c>
      <c r="C1051" t="s">
        <v>8</v>
      </c>
      <c r="D1051">
        <v>5</v>
      </c>
      <c r="E1051">
        <v>230</v>
      </c>
      <c r="F1051">
        <v>0.1</v>
      </c>
      <c r="G1051" t="s">
        <v>19</v>
      </c>
    </row>
    <row r="1052" spans="1:7" x14ac:dyDescent="0.3">
      <c r="A1052">
        <v>43292</v>
      </c>
      <c r="B1052" t="s">
        <v>10</v>
      </c>
      <c r="C1052" t="s">
        <v>21</v>
      </c>
      <c r="D1052">
        <v>7</v>
      </c>
      <c r="E1052">
        <v>40</v>
      </c>
      <c r="F1052">
        <v>0.05</v>
      </c>
      <c r="G1052" t="s">
        <v>12</v>
      </c>
    </row>
    <row r="1053" spans="1:7" x14ac:dyDescent="0.3">
      <c r="A1053">
        <v>43292</v>
      </c>
      <c r="B1053" t="s">
        <v>7</v>
      </c>
      <c r="C1053" t="s">
        <v>16</v>
      </c>
      <c r="D1053">
        <v>14</v>
      </c>
      <c r="E1053">
        <v>80</v>
      </c>
      <c r="F1053">
        <v>0.1</v>
      </c>
      <c r="G1053" t="s">
        <v>14</v>
      </c>
    </row>
    <row r="1054" spans="1:7" x14ac:dyDescent="0.3">
      <c r="A1054">
        <v>43292</v>
      </c>
      <c r="B1054" t="s">
        <v>20</v>
      </c>
      <c r="C1054" t="s">
        <v>21</v>
      </c>
      <c r="D1054">
        <v>12</v>
      </c>
      <c r="E1054">
        <v>16</v>
      </c>
      <c r="F1054">
        <v>0.04</v>
      </c>
      <c r="G1054" t="s">
        <v>15</v>
      </c>
    </row>
    <row r="1055" spans="1:7" x14ac:dyDescent="0.3">
      <c r="A1055">
        <v>43292</v>
      </c>
      <c r="B1055" t="s">
        <v>13</v>
      </c>
      <c r="C1055" t="s">
        <v>16</v>
      </c>
      <c r="D1055">
        <v>14</v>
      </c>
      <c r="E1055">
        <v>230</v>
      </c>
      <c r="F1055">
        <v>0.03</v>
      </c>
      <c r="G1055" t="s">
        <v>17</v>
      </c>
    </row>
    <row r="1056" spans="1:7" x14ac:dyDescent="0.3">
      <c r="A1056">
        <v>43292</v>
      </c>
      <c r="B1056" t="s">
        <v>7</v>
      </c>
      <c r="C1056" t="s">
        <v>21</v>
      </c>
      <c r="D1056">
        <v>21</v>
      </c>
      <c r="E1056">
        <v>80</v>
      </c>
      <c r="F1056">
        <v>0.09</v>
      </c>
      <c r="G1056" t="s">
        <v>19</v>
      </c>
    </row>
    <row r="1057" spans="1:7" x14ac:dyDescent="0.3">
      <c r="A1057">
        <v>43292</v>
      </c>
      <c r="B1057" t="s">
        <v>13</v>
      </c>
      <c r="C1057" t="s">
        <v>16</v>
      </c>
      <c r="D1057">
        <v>5</v>
      </c>
      <c r="E1057">
        <v>230</v>
      </c>
      <c r="F1057">
        <v>0.1</v>
      </c>
      <c r="G1057" t="s">
        <v>22</v>
      </c>
    </row>
    <row r="1058" spans="1:7" x14ac:dyDescent="0.3">
      <c r="A1058">
        <v>43292</v>
      </c>
      <c r="B1058" t="s">
        <v>10</v>
      </c>
      <c r="C1058" t="s">
        <v>21</v>
      </c>
      <c r="D1058">
        <v>16</v>
      </c>
      <c r="E1058">
        <v>40</v>
      </c>
      <c r="F1058">
        <v>0.09</v>
      </c>
      <c r="G1058" t="s">
        <v>24</v>
      </c>
    </row>
    <row r="1059" spans="1:7" x14ac:dyDescent="0.3">
      <c r="A1059">
        <v>43292</v>
      </c>
      <c r="B1059" t="s">
        <v>23</v>
      </c>
      <c r="C1059" t="s">
        <v>11</v>
      </c>
      <c r="D1059">
        <v>15</v>
      </c>
      <c r="E1059">
        <v>150</v>
      </c>
      <c r="F1059">
        <v>0.12</v>
      </c>
      <c r="G1059" t="s">
        <v>25</v>
      </c>
    </row>
    <row r="1060" spans="1:7" x14ac:dyDescent="0.3">
      <c r="A1060">
        <v>43292</v>
      </c>
      <c r="B1060" t="s">
        <v>20</v>
      </c>
      <c r="C1060" t="s">
        <v>21</v>
      </c>
      <c r="D1060">
        <v>23</v>
      </c>
      <c r="E1060">
        <v>16</v>
      </c>
      <c r="F1060">
        <v>0.01</v>
      </c>
      <c r="G1060" t="s">
        <v>26</v>
      </c>
    </row>
    <row r="1061" spans="1:7" x14ac:dyDescent="0.3">
      <c r="A1061">
        <v>43292</v>
      </c>
      <c r="B1061" t="s">
        <v>20</v>
      </c>
      <c r="C1061" t="s">
        <v>11</v>
      </c>
      <c r="D1061">
        <v>22</v>
      </c>
      <c r="E1061">
        <v>16</v>
      </c>
      <c r="F1061">
        <v>0.04</v>
      </c>
      <c r="G1061" t="s">
        <v>27</v>
      </c>
    </row>
    <row r="1062" spans="1:7" x14ac:dyDescent="0.3">
      <c r="A1062">
        <v>43292</v>
      </c>
      <c r="B1062" t="s">
        <v>7</v>
      </c>
      <c r="C1062" t="s">
        <v>8</v>
      </c>
      <c r="D1062">
        <v>20</v>
      </c>
      <c r="E1062">
        <v>80</v>
      </c>
      <c r="F1062">
        <v>0.01</v>
      </c>
      <c r="G1062" t="s">
        <v>28</v>
      </c>
    </row>
    <row r="1063" spans="1:7" x14ac:dyDescent="0.3">
      <c r="A1063">
        <v>43292</v>
      </c>
      <c r="B1063" t="s">
        <v>10</v>
      </c>
      <c r="C1063" t="s">
        <v>18</v>
      </c>
      <c r="D1063">
        <v>6</v>
      </c>
      <c r="E1063">
        <v>40</v>
      </c>
      <c r="F1063">
        <v>7.0000000000000007E-2</v>
      </c>
      <c r="G1063" t="s">
        <v>9</v>
      </c>
    </row>
    <row r="1064" spans="1:7" x14ac:dyDescent="0.3">
      <c r="A1064">
        <v>43293</v>
      </c>
      <c r="B1064" t="s">
        <v>23</v>
      </c>
      <c r="C1064" t="s">
        <v>11</v>
      </c>
      <c r="D1064">
        <v>10</v>
      </c>
      <c r="E1064">
        <v>150</v>
      </c>
      <c r="F1064">
        <v>0.01</v>
      </c>
      <c r="G1064" t="s">
        <v>12</v>
      </c>
    </row>
    <row r="1065" spans="1:7" x14ac:dyDescent="0.3">
      <c r="A1065">
        <v>43293</v>
      </c>
      <c r="B1065" t="s">
        <v>7</v>
      </c>
      <c r="C1065" t="s">
        <v>18</v>
      </c>
      <c r="D1065">
        <v>17</v>
      </c>
      <c r="E1065">
        <v>80</v>
      </c>
      <c r="F1065">
        <v>0.05</v>
      </c>
      <c r="G1065" t="s">
        <v>14</v>
      </c>
    </row>
    <row r="1066" spans="1:7" x14ac:dyDescent="0.3">
      <c r="A1066">
        <v>43293</v>
      </c>
      <c r="B1066" t="s">
        <v>23</v>
      </c>
      <c r="C1066" t="s">
        <v>8</v>
      </c>
      <c r="D1066">
        <v>13</v>
      </c>
      <c r="E1066">
        <v>150</v>
      </c>
      <c r="F1066">
        <v>0.05</v>
      </c>
      <c r="G1066" t="s">
        <v>15</v>
      </c>
    </row>
    <row r="1067" spans="1:7" x14ac:dyDescent="0.3">
      <c r="A1067">
        <v>43293</v>
      </c>
      <c r="B1067" t="s">
        <v>13</v>
      </c>
      <c r="C1067" t="s">
        <v>18</v>
      </c>
      <c r="D1067">
        <v>8</v>
      </c>
      <c r="E1067">
        <v>230</v>
      </c>
      <c r="F1067">
        <v>0.05</v>
      </c>
      <c r="G1067" t="s">
        <v>17</v>
      </c>
    </row>
    <row r="1068" spans="1:7" x14ac:dyDescent="0.3">
      <c r="A1068">
        <v>43293</v>
      </c>
      <c r="B1068" t="s">
        <v>20</v>
      </c>
      <c r="C1068" t="s">
        <v>8</v>
      </c>
      <c r="D1068">
        <v>10</v>
      </c>
      <c r="E1068">
        <v>16</v>
      </c>
      <c r="F1068">
        <v>0.08</v>
      </c>
      <c r="G1068" t="s">
        <v>19</v>
      </c>
    </row>
    <row r="1069" spans="1:7" x14ac:dyDescent="0.3">
      <c r="A1069">
        <v>43293</v>
      </c>
      <c r="B1069" t="s">
        <v>10</v>
      </c>
      <c r="C1069" t="s">
        <v>11</v>
      </c>
      <c r="D1069">
        <v>4</v>
      </c>
      <c r="E1069">
        <v>40</v>
      </c>
      <c r="F1069">
        <v>0.06</v>
      </c>
      <c r="G1069" t="s">
        <v>12</v>
      </c>
    </row>
    <row r="1070" spans="1:7" x14ac:dyDescent="0.3">
      <c r="A1070">
        <v>43293</v>
      </c>
      <c r="B1070" t="s">
        <v>10</v>
      </c>
      <c r="C1070" t="s">
        <v>21</v>
      </c>
      <c r="D1070">
        <v>18</v>
      </c>
      <c r="E1070">
        <v>40</v>
      </c>
      <c r="F1070">
        <v>0.06</v>
      </c>
      <c r="G1070" t="s">
        <v>14</v>
      </c>
    </row>
    <row r="1071" spans="1:7" x14ac:dyDescent="0.3">
      <c r="A1071">
        <v>43293</v>
      </c>
      <c r="B1071" t="s">
        <v>23</v>
      </c>
      <c r="C1071" t="s">
        <v>18</v>
      </c>
      <c r="D1071">
        <v>15</v>
      </c>
      <c r="E1071">
        <v>150</v>
      </c>
      <c r="F1071">
        <v>0.05</v>
      </c>
      <c r="G1071" t="s">
        <v>15</v>
      </c>
    </row>
    <row r="1072" spans="1:7" x14ac:dyDescent="0.3">
      <c r="A1072">
        <v>43293</v>
      </c>
      <c r="B1072" t="s">
        <v>23</v>
      </c>
      <c r="C1072" t="s">
        <v>18</v>
      </c>
      <c r="D1072">
        <v>3</v>
      </c>
      <c r="E1072">
        <v>150</v>
      </c>
      <c r="F1072">
        <v>0.01</v>
      </c>
      <c r="G1072" t="s">
        <v>17</v>
      </c>
    </row>
    <row r="1073" spans="1:7" x14ac:dyDescent="0.3">
      <c r="A1073">
        <v>43293</v>
      </c>
      <c r="B1073" t="s">
        <v>20</v>
      </c>
      <c r="C1073" t="s">
        <v>8</v>
      </c>
      <c r="D1073">
        <v>12</v>
      </c>
      <c r="E1073">
        <v>16</v>
      </c>
      <c r="F1073">
        <v>0.11</v>
      </c>
      <c r="G1073" t="s">
        <v>19</v>
      </c>
    </row>
    <row r="1074" spans="1:7" x14ac:dyDescent="0.3">
      <c r="A1074">
        <v>43294</v>
      </c>
      <c r="B1074" t="s">
        <v>7</v>
      </c>
      <c r="C1074" t="s">
        <v>21</v>
      </c>
      <c r="D1074">
        <v>17</v>
      </c>
      <c r="E1074">
        <v>80</v>
      </c>
      <c r="F1074">
        <v>7.0000000000000007E-2</v>
      </c>
      <c r="G1074" t="s">
        <v>22</v>
      </c>
    </row>
    <row r="1075" spans="1:7" x14ac:dyDescent="0.3">
      <c r="A1075">
        <v>43294</v>
      </c>
      <c r="B1075" t="s">
        <v>13</v>
      </c>
      <c r="C1075" t="s">
        <v>8</v>
      </c>
      <c r="D1075">
        <v>3</v>
      </c>
      <c r="E1075">
        <v>230</v>
      </c>
      <c r="F1075">
        <v>0.06</v>
      </c>
      <c r="G1075" t="s">
        <v>24</v>
      </c>
    </row>
    <row r="1076" spans="1:7" x14ac:dyDescent="0.3">
      <c r="A1076">
        <v>43294</v>
      </c>
      <c r="B1076" t="s">
        <v>7</v>
      </c>
      <c r="C1076" t="s">
        <v>16</v>
      </c>
      <c r="D1076">
        <v>20</v>
      </c>
      <c r="E1076">
        <v>80</v>
      </c>
      <c r="F1076">
        <v>7.0000000000000007E-2</v>
      </c>
      <c r="G1076" t="s">
        <v>25</v>
      </c>
    </row>
    <row r="1077" spans="1:7" x14ac:dyDescent="0.3">
      <c r="A1077">
        <v>43294</v>
      </c>
      <c r="B1077" t="s">
        <v>13</v>
      </c>
      <c r="C1077" t="s">
        <v>11</v>
      </c>
      <c r="D1077">
        <v>14</v>
      </c>
      <c r="E1077">
        <v>230</v>
      </c>
      <c r="F1077">
        <v>0.05</v>
      </c>
      <c r="G1077" t="s">
        <v>26</v>
      </c>
    </row>
    <row r="1078" spans="1:7" x14ac:dyDescent="0.3">
      <c r="A1078">
        <v>43294</v>
      </c>
      <c r="B1078" t="s">
        <v>10</v>
      </c>
      <c r="C1078" t="s">
        <v>21</v>
      </c>
      <c r="D1078">
        <v>16</v>
      </c>
      <c r="E1078">
        <v>40</v>
      </c>
      <c r="F1078">
        <v>0.09</v>
      </c>
      <c r="G1078" t="s">
        <v>27</v>
      </c>
    </row>
    <row r="1079" spans="1:7" x14ac:dyDescent="0.3">
      <c r="A1079">
        <v>43294</v>
      </c>
      <c r="B1079" t="s">
        <v>20</v>
      </c>
      <c r="C1079" t="s">
        <v>11</v>
      </c>
      <c r="D1079">
        <v>7</v>
      </c>
      <c r="E1079">
        <v>16</v>
      </c>
      <c r="F1079">
        <v>0.08</v>
      </c>
      <c r="G1079" t="s">
        <v>28</v>
      </c>
    </row>
    <row r="1080" spans="1:7" x14ac:dyDescent="0.3">
      <c r="A1080">
        <v>43294</v>
      </c>
      <c r="B1080" t="s">
        <v>10</v>
      </c>
      <c r="C1080" t="s">
        <v>11</v>
      </c>
      <c r="D1080">
        <v>19</v>
      </c>
      <c r="E1080">
        <v>40</v>
      </c>
      <c r="F1080">
        <v>0.1</v>
      </c>
      <c r="G1080" t="s">
        <v>9</v>
      </c>
    </row>
    <row r="1081" spans="1:7" x14ac:dyDescent="0.3">
      <c r="A1081">
        <v>43294</v>
      </c>
      <c r="B1081" t="s">
        <v>13</v>
      </c>
      <c r="C1081" t="s">
        <v>18</v>
      </c>
      <c r="D1081">
        <v>7</v>
      </c>
      <c r="E1081">
        <v>230</v>
      </c>
      <c r="F1081">
        <v>0.06</v>
      </c>
      <c r="G1081" t="s">
        <v>12</v>
      </c>
    </row>
    <row r="1082" spans="1:7" x14ac:dyDescent="0.3">
      <c r="A1082">
        <v>43294</v>
      </c>
      <c r="B1082" t="s">
        <v>10</v>
      </c>
      <c r="C1082" t="s">
        <v>21</v>
      </c>
      <c r="D1082">
        <v>20</v>
      </c>
      <c r="E1082">
        <v>40</v>
      </c>
      <c r="F1082">
        <v>0.03</v>
      </c>
      <c r="G1082" t="s">
        <v>14</v>
      </c>
    </row>
    <row r="1083" spans="1:7" x14ac:dyDescent="0.3">
      <c r="A1083">
        <v>43294</v>
      </c>
      <c r="B1083" t="s">
        <v>20</v>
      </c>
      <c r="C1083" t="s">
        <v>16</v>
      </c>
      <c r="D1083">
        <v>11</v>
      </c>
      <c r="E1083">
        <v>16</v>
      </c>
      <c r="F1083">
        <v>0.12</v>
      </c>
      <c r="G1083" t="s">
        <v>15</v>
      </c>
    </row>
    <row r="1084" spans="1:7" x14ac:dyDescent="0.3">
      <c r="A1084">
        <v>43294</v>
      </c>
      <c r="B1084" t="s">
        <v>7</v>
      </c>
      <c r="C1084" t="s">
        <v>21</v>
      </c>
      <c r="D1084">
        <v>16</v>
      </c>
      <c r="E1084">
        <v>80</v>
      </c>
      <c r="F1084">
        <v>0.09</v>
      </c>
      <c r="G1084" t="s">
        <v>17</v>
      </c>
    </row>
    <row r="1085" spans="1:7" x14ac:dyDescent="0.3">
      <c r="A1085">
        <v>43294</v>
      </c>
      <c r="B1085" t="s">
        <v>20</v>
      </c>
      <c r="C1085" t="s">
        <v>8</v>
      </c>
      <c r="D1085">
        <v>21</v>
      </c>
      <c r="E1085">
        <v>16</v>
      </c>
      <c r="F1085">
        <v>0.09</v>
      </c>
      <c r="G1085" t="s">
        <v>19</v>
      </c>
    </row>
    <row r="1086" spans="1:7" x14ac:dyDescent="0.3">
      <c r="A1086">
        <v>43294</v>
      </c>
      <c r="B1086" t="s">
        <v>20</v>
      </c>
      <c r="C1086" t="s">
        <v>8</v>
      </c>
      <c r="D1086">
        <v>22</v>
      </c>
      <c r="E1086">
        <v>16</v>
      </c>
      <c r="F1086">
        <v>0.01</v>
      </c>
      <c r="G1086" t="s">
        <v>12</v>
      </c>
    </row>
    <row r="1087" spans="1:7" x14ac:dyDescent="0.3">
      <c r="A1087">
        <v>43294</v>
      </c>
      <c r="B1087" t="s">
        <v>13</v>
      </c>
      <c r="C1087" t="s">
        <v>18</v>
      </c>
      <c r="D1087">
        <v>23</v>
      </c>
      <c r="E1087">
        <v>230</v>
      </c>
      <c r="F1087">
        <v>0.06</v>
      </c>
      <c r="G1087" t="s">
        <v>14</v>
      </c>
    </row>
    <row r="1088" spans="1:7" x14ac:dyDescent="0.3">
      <c r="A1088">
        <v>43294</v>
      </c>
      <c r="B1088" t="s">
        <v>23</v>
      </c>
      <c r="C1088" t="s">
        <v>8</v>
      </c>
      <c r="D1088">
        <v>9</v>
      </c>
      <c r="E1088">
        <v>150</v>
      </c>
      <c r="F1088">
        <v>0.1</v>
      </c>
      <c r="G1088" t="s">
        <v>15</v>
      </c>
    </row>
    <row r="1089" spans="1:7" x14ac:dyDescent="0.3">
      <c r="A1089">
        <v>43294</v>
      </c>
      <c r="B1089" t="s">
        <v>23</v>
      </c>
      <c r="C1089" t="s">
        <v>16</v>
      </c>
      <c r="D1089">
        <v>9</v>
      </c>
      <c r="E1089">
        <v>150</v>
      </c>
      <c r="F1089">
        <v>0.06</v>
      </c>
      <c r="G1089" t="s">
        <v>17</v>
      </c>
    </row>
    <row r="1090" spans="1:7" x14ac:dyDescent="0.3">
      <c r="A1090">
        <v>43295</v>
      </c>
      <c r="B1090" t="s">
        <v>13</v>
      </c>
      <c r="C1090" t="s">
        <v>8</v>
      </c>
      <c r="D1090">
        <v>9</v>
      </c>
      <c r="E1090">
        <v>230</v>
      </c>
      <c r="F1090">
        <v>7.0000000000000007E-2</v>
      </c>
      <c r="G1090" t="s">
        <v>19</v>
      </c>
    </row>
    <row r="1091" spans="1:7" x14ac:dyDescent="0.3">
      <c r="A1091">
        <v>43295</v>
      </c>
      <c r="B1091" t="s">
        <v>7</v>
      </c>
      <c r="C1091" t="s">
        <v>16</v>
      </c>
      <c r="D1091">
        <v>10</v>
      </c>
      <c r="E1091">
        <v>80</v>
      </c>
      <c r="F1091">
        <v>0.08</v>
      </c>
      <c r="G1091" t="s">
        <v>22</v>
      </c>
    </row>
    <row r="1092" spans="1:7" x14ac:dyDescent="0.3">
      <c r="A1092">
        <v>43295</v>
      </c>
      <c r="B1092" t="s">
        <v>20</v>
      </c>
      <c r="C1092" t="s">
        <v>16</v>
      </c>
      <c r="D1092">
        <v>23</v>
      </c>
      <c r="E1092">
        <v>16</v>
      </c>
      <c r="F1092">
        <v>0.11</v>
      </c>
      <c r="G1092" t="s">
        <v>24</v>
      </c>
    </row>
    <row r="1093" spans="1:7" x14ac:dyDescent="0.3">
      <c r="A1093">
        <v>43295</v>
      </c>
      <c r="B1093" t="s">
        <v>7</v>
      </c>
      <c r="C1093" t="s">
        <v>18</v>
      </c>
      <c r="D1093">
        <v>22</v>
      </c>
      <c r="E1093">
        <v>80</v>
      </c>
      <c r="F1093">
        <v>0.03</v>
      </c>
      <c r="G1093" t="s">
        <v>25</v>
      </c>
    </row>
    <row r="1094" spans="1:7" x14ac:dyDescent="0.3">
      <c r="A1094">
        <v>43295</v>
      </c>
      <c r="B1094" t="s">
        <v>7</v>
      </c>
      <c r="C1094" t="s">
        <v>18</v>
      </c>
      <c r="D1094">
        <v>4</v>
      </c>
      <c r="E1094">
        <v>80</v>
      </c>
      <c r="F1094">
        <v>0.11</v>
      </c>
      <c r="G1094" t="s">
        <v>26</v>
      </c>
    </row>
    <row r="1095" spans="1:7" x14ac:dyDescent="0.3">
      <c r="A1095">
        <v>43295</v>
      </c>
      <c r="B1095" t="s">
        <v>20</v>
      </c>
      <c r="C1095" t="s">
        <v>8</v>
      </c>
      <c r="D1095">
        <v>22</v>
      </c>
      <c r="E1095">
        <v>16</v>
      </c>
      <c r="F1095">
        <v>0.06</v>
      </c>
      <c r="G1095" t="s">
        <v>27</v>
      </c>
    </row>
    <row r="1096" spans="1:7" x14ac:dyDescent="0.3">
      <c r="A1096">
        <v>43295</v>
      </c>
      <c r="B1096" t="s">
        <v>10</v>
      </c>
      <c r="C1096" t="s">
        <v>11</v>
      </c>
      <c r="D1096">
        <v>15</v>
      </c>
      <c r="E1096">
        <v>40</v>
      </c>
      <c r="F1096">
        <v>0.02</v>
      </c>
      <c r="G1096" t="s">
        <v>28</v>
      </c>
    </row>
    <row r="1097" spans="1:7" x14ac:dyDescent="0.3">
      <c r="A1097">
        <v>43295</v>
      </c>
      <c r="B1097" t="s">
        <v>10</v>
      </c>
      <c r="C1097" t="s">
        <v>21</v>
      </c>
      <c r="D1097">
        <v>7</v>
      </c>
      <c r="E1097">
        <v>40</v>
      </c>
      <c r="F1097">
        <v>0.04</v>
      </c>
      <c r="G1097" t="s">
        <v>9</v>
      </c>
    </row>
    <row r="1098" spans="1:7" x14ac:dyDescent="0.3">
      <c r="A1098">
        <v>43295</v>
      </c>
      <c r="B1098" t="s">
        <v>20</v>
      </c>
      <c r="C1098" t="s">
        <v>21</v>
      </c>
      <c r="D1098">
        <v>2</v>
      </c>
      <c r="E1098">
        <v>16</v>
      </c>
      <c r="F1098">
        <v>0.04</v>
      </c>
      <c r="G1098" t="s">
        <v>12</v>
      </c>
    </row>
    <row r="1099" spans="1:7" x14ac:dyDescent="0.3">
      <c r="A1099">
        <v>43295</v>
      </c>
      <c r="B1099" t="s">
        <v>7</v>
      </c>
      <c r="C1099" t="s">
        <v>18</v>
      </c>
      <c r="D1099">
        <v>7</v>
      </c>
      <c r="E1099">
        <v>80</v>
      </c>
      <c r="F1099">
        <v>0.02</v>
      </c>
      <c r="G1099" t="s">
        <v>14</v>
      </c>
    </row>
    <row r="1100" spans="1:7" x14ac:dyDescent="0.3">
      <c r="A1100">
        <v>43296</v>
      </c>
      <c r="B1100" t="s">
        <v>20</v>
      </c>
      <c r="C1100" t="s">
        <v>21</v>
      </c>
      <c r="D1100">
        <v>22</v>
      </c>
      <c r="E1100">
        <v>16</v>
      </c>
      <c r="F1100">
        <v>0.12</v>
      </c>
      <c r="G1100" t="s">
        <v>15</v>
      </c>
    </row>
    <row r="1101" spans="1:7" x14ac:dyDescent="0.3">
      <c r="A1101">
        <v>43296</v>
      </c>
      <c r="B1101" t="s">
        <v>10</v>
      </c>
      <c r="C1101" t="s">
        <v>11</v>
      </c>
      <c r="D1101">
        <v>21</v>
      </c>
      <c r="E1101">
        <v>40</v>
      </c>
      <c r="F1101">
        <v>0.03</v>
      </c>
      <c r="G1101" t="s">
        <v>17</v>
      </c>
    </row>
    <row r="1102" spans="1:7" x14ac:dyDescent="0.3">
      <c r="A1102">
        <v>43296</v>
      </c>
      <c r="B1102" t="s">
        <v>7</v>
      </c>
      <c r="C1102" t="s">
        <v>8</v>
      </c>
      <c r="D1102">
        <v>6</v>
      </c>
      <c r="E1102">
        <v>80</v>
      </c>
      <c r="F1102">
        <v>0.01</v>
      </c>
      <c r="G1102" t="s">
        <v>19</v>
      </c>
    </row>
    <row r="1103" spans="1:7" x14ac:dyDescent="0.3">
      <c r="A1103">
        <v>43296</v>
      </c>
      <c r="B1103" t="s">
        <v>7</v>
      </c>
      <c r="C1103" t="s">
        <v>21</v>
      </c>
      <c r="D1103">
        <v>13</v>
      </c>
      <c r="E1103">
        <v>80</v>
      </c>
      <c r="F1103">
        <v>0.05</v>
      </c>
      <c r="G1103" t="s">
        <v>12</v>
      </c>
    </row>
    <row r="1104" spans="1:7" x14ac:dyDescent="0.3">
      <c r="A1104">
        <v>43296</v>
      </c>
      <c r="B1104" t="s">
        <v>7</v>
      </c>
      <c r="C1104" t="s">
        <v>18</v>
      </c>
      <c r="D1104">
        <v>11</v>
      </c>
      <c r="E1104">
        <v>80</v>
      </c>
      <c r="F1104">
        <v>0.01</v>
      </c>
      <c r="G1104" t="s">
        <v>14</v>
      </c>
    </row>
    <row r="1105" spans="1:7" x14ac:dyDescent="0.3">
      <c r="A1105">
        <v>43296</v>
      </c>
      <c r="B1105" t="s">
        <v>10</v>
      </c>
      <c r="C1105" t="s">
        <v>8</v>
      </c>
      <c r="D1105">
        <v>18</v>
      </c>
      <c r="E1105">
        <v>40</v>
      </c>
      <c r="F1105">
        <v>0.06</v>
      </c>
      <c r="G1105" t="s">
        <v>15</v>
      </c>
    </row>
    <row r="1106" spans="1:7" x14ac:dyDescent="0.3">
      <c r="A1106">
        <v>43296</v>
      </c>
      <c r="B1106" t="s">
        <v>23</v>
      </c>
      <c r="C1106" t="s">
        <v>18</v>
      </c>
      <c r="D1106">
        <v>7</v>
      </c>
      <c r="E1106">
        <v>150</v>
      </c>
      <c r="F1106">
        <v>0.05</v>
      </c>
      <c r="G1106" t="s">
        <v>17</v>
      </c>
    </row>
    <row r="1107" spans="1:7" x14ac:dyDescent="0.3">
      <c r="A1107">
        <v>43296</v>
      </c>
      <c r="B1107" t="s">
        <v>10</v>
      </c>
      <c r="C1107" t="s">
        <v>8</v>
      </c>
      <c r="D1107">
        <v>2</v>
      </c>
      <c r="E1107">
        <v>40</v>
      </c>
      <c r="F1107">
        <v>0.12</v>
      </c>
      <c r="G1107" t="s">
        <v>19</v>
      </c>
    </row>
    <row r="1108" spans="1:7" x14ac:dyDescent="0.3">
      <c r="A1108">
        <v>43296</v>
      </c>
      <c r="B1108" t="s">
        <v>7</v>
      </c>
      <c r="C1108" t="s">
        <v>11</v>
      </c>
      <c r="D1108">
        <v>14</v>
      </c>
      <c r="E1108">
        <v>80</v>
      </c>
      <c r="F1108">
        <v>0.06</v>
      </c>
      <c r="G1108" t="s">
        <v>22</v>
      </c>
    </row>
    <row r="1109" spans="1:7" x14ac:dyDescent="0.3">
      <c r="A1109">
        <v>43296</v>
      </c>
      <c r="B1109" t="s">
        <v>23</v>
      </c>
      <c r="C1109" t="s">
        <v>21</v>
      </c>
      <c r="D1109">
        <v>7</v>
      </c>
      <c r="E1109">
        <v>150</v>
      </c>
      <c r="F1109">
        <v>0.03</v>
      </c>
      <c r="G1109" t="s">
        <v>24</v>
      </c>
    </row>
    <row r="1110" spans="1:7" x14ac:dyDescent="0.3">
      <c r="A1110">
        <v>43296</v>
      </c>
      <c r="B1110" t="s">
        <v>20</v>
      </c>
      <c r="C1110" t="s">
        <v>18</v>
      </c>
      <c r="D1110">
        <v>10</v>
      </c>
      <c r="E1110">
        <v>16</v>
      </c>
      <c r="F1110">
        <v>0.01</v>
      </c>
      <c r="G1110" t="s">
        <v>25</v>
      </c>
    </row>
    <row r="1111" spans="1:7" x14ac:dyDescent="0.3">
      <c r="A1111">
        <v>43297</v>
      </c>
      <c r="B1111" t="s">
        <v>10</v>
      </c>
      <c r="C1111" t="s">
        <v>11</v>
      </c>
      <c r="D1111">
        <v>7</v>
      </c>
      <c r="E1111">
        <v>40</v>
      </c>
      <c r="F1111">
        <v>0.01</v>
      </c>
      <c r="G1111" t="s">
        <v>26</v>
      </c>
    </row>
    <row r="1112" spans="1:7" x14ac:dyDescent="0.3">
      <c r="A1112">
        <v>43297</v>
      </c>
      <c r="B1112" t="s">
        <v>20</v>
      </c>
      <c r="C1112" t="s">
        <v>18</v>
      </c>
      <c r="D1112">
        <v>7</v>
      </c>
      <c r="E1112">
        <v>16</v>
      </c>
      <c r="F1112">
        <v>0.08</v>
      </c>
      <c r="G1112" t="s">
        <v>27</v>
      </c>
    </row>
    <row r="1113" spans="1:7" x14ac:dyDescent="0.3">
      <c r="A1113">
        <v>43297</v>
      </c>
      <c r="B1113" t="s">
        <v>23</v>
      </c>
      <c r="C1113" t="s">
        <v>16</v>
      </c>
      <c r="D1113">
        <v>15</v>
      </c>
      <c r="E1113">
        <v>150</v>
      </c>
      <c r="F1113">
        <v>0.05</v>
      </c>
      <c r="G1113" t="s">
        <v>28</v>
      </c>
    </row>
    <row r="1114" spans="1:7" x14ac:dyDescent="0.3">
      <c r="A1114">
        <v>43297</v>
      </c>
      <c r="B1114" t="s">
        <v>7</v>
      </c>
      <c r="C1114" t="s">
        <v>8</v>
      </c>
      <c r="D1114">
        <v>7</v>
      </c>
      <c r="E1114">
        <v>80</v>
      </c>
      <c r="F1114">
        <v>0.02</v>
      </c>
      <c r="G1114" t="s">
        <v>9</v>
      </c>
    </row>
    <row r="1115" spans="1:7" x14ac:dyDescent="0.3">
      <c r="A1115">
        <v>43297</v>
      </c>
      <c r="B1115" t="s">
        <v>10</v>
      </c>
      <c r="C1115" t="s">
        <v>16</v>
      </c>
      <c r="D1115">
        <v>6</v>
      </c>
      <c r="E1115">
        <v>40</v>
      </c>
      <c r="F1115">
        <v>0.06</v>
      </c>
      <c r="G1115" t="s">
        <v>12</v>
      </c>
    </row>
    <row r="1116" spans="1:7" x14ac:dyDescent="0.3">
      <c r="A1116">
        <v>43297</v>
      </c>
      <c r="B1116" t="s">
        <v>13</v>
      </c>
      <c r="C1116" t="s">
        <v>8</v>
      </c>
      <c r="D1116">
        <v>3</v>
      </c>
      <c r="E1116">
        <v>230</v>
      </c>
      <c r="F1116">
        <v>0.06</v>
      </c>
      <c r="G1116" t="s">
        <v>14</v>
      </c>
    </row>
    <row r="1117" spans="1:7" x14ac:dyDescent="0.3">
      <c r="A1117">
        <v>43297</v>
      </c>
      <c r="B1117" t="s">
        <v>23</v>
      </c>
      <c r="C1117" t="s">
        <v>16</v>
      </c>
      <c r="D1117">
        <v>20</v>
      </c>
      <c r="E1117">
        <v>150</v>
      </c>
      <c r="F1117">
        <v>0.04</v>
      </c>
      <c r="G1117" t="s">
        <v>15</v>
      </c>
    </row>
    <row r="1118" spans="1:7" x14ac:dyDescent="0.3">
      <c r="A1118">
        <v>43297</v>
      </c>
      <c r="B1118" t="s">
        <v>13</v>
      </c>
      <c r="C1118" t="s">
        <v>16</v>
      </c>
      <c r="D1118">
        <v>20</v>
      </c>
      <c r="E1118">
        <v>230</v>
      </c>
      <c r="F1118">
        <v>0.06</v>
      </c>
      <c r="G1118" t="s">
        <v>17</v>
      </c>
    </row>
    <row r="1119" spans="1:7" x14ac:dyDescent="0.3">
      <c r="A1119">
        <v>43297</v>
      </c>
      <c r="B1119" t="s">
        <v>20</v>
      </c>
      <c r="C1119" t="s">
        <v>16</v>
      </c>
      <c r="D1119">
        <v>14</v>
      </c>
      <c r="E1119">
        <v>16</v>
      </c>
      <c r="F1119">
        <v>0.01</v>
      </c>
      <c r="G1119" t="s">
        <v>19</v>
      </c>
    </row>
    <row r="1120" spans="1:7" x14ac:dyDescent="0.3">
      <c r="A1120">
        <v>43297</v>
      </c>
      <c r="B1120" t="s">
        <v>23</v>
      </c>
      <c r="C1120" t="s">
        <v>16</v>
      </c>
      <c r="D1120">
        <v>20</v>
      </c>
      <c r="E1120">
        <v>150</v>
      </c>
      <c r="F1120">
        <v>0.04</v>
      </c>
      <c r="G1120" t="s">
        <v>12</v>
      </c>
    </row>
    <row r="1121" spans="1:7" x14ac:dyDescent="0.3">
      <c r="A1121">
        <v>43297</v>
      </c>
      <c r="B1121" t="s">
        <v>7</v>
      </c>
      <c r="C1121" t="s">
        <v>8</v>
      </c>
      <c r="D1121">
        <v>17</v>
      </c>
      <c r="E1121">
        <v>80</v>
      </c>
      <c r="F1121">
        <v>0.09</v>
      </c>
      <c r="G1121" t="s">
        <v>14</v>
      </c>
    </row>
    <row r="1122" spans="1:7" x14ac:dyDescent="0.3">
      <c r="A1122">
        <v>43298</v>
      </c>
      <c r="B1122" t="s">
        <v>23</v>
      </c>
      <c r="C1122" t="s">
        <v>16</v>
      </c>
      <c r="D1122">
        <v>20</v>
      </c>
      <c r="E1122">
        <v>150</v>
      </c>
      <c r="F1122">
        <v>0.12</v>
      </c>
      <c r="G1122" t="s">
        <v>15</v>
      </c>
    </row>
    <row r="1123" spans="1:7" x14ac:dyDescent="0.3">
      <c r="A1123">
        <v>43298</v>
      </c>
      <c r="B1123" t="s">
        <v>20</v>
      </c>
      <c r="C1123" t="s">
        <v>16</v>
      </c>
      <c r="D1123">
        <v>11</v>
      </c>
      <c r="E1123">
        <v>16</v>
      </c>
      <c r="F1123">
        <v>0.04</v>
      </c>
      <c r="G1123" t="s">
        <v>17</v>
      </c>
    </row>
    <row r="1124" spans="1:7" x14ac:dyDescent="0.3">
      <c r="A1124">
        <v>43298</v>
      </c>
      <c r="B1124" t="s">
        <v>13</v>
      </c>
      <c r="C1124" t="s">
        <v>21</v>
      </c>
      <c r="D1124">
        <v>7</v>
      </c>
      <c r="E1124">
        <v>230</v>
      </c>
      <c r="F1124">
        <v>0.05</v>
      </c>
      <c r="G1124" t="s">
        <v>19</v>
      </c>
    </row>
    <row r="1125" spans="1:7" x14ac:dyDescent="0.3">
      <c r="A1125">
        <v>43298</v>
      </c>
      <c r="B1125" t="s">
        <v>10</v>
      </c>
      <c r="C1125" t="s">
        <v>11</v>
      </c>
      <c r="D1125">
        <v>14</v>
      </c>
      <c r="E1125">
        <v>40</v>
      </c>
      <c r="F1125">
        <v>0.06</v>
      </c>
      <c r="G1125" t="s">
        <v>22</v>
      </c>
    </row>
    <row r="1126" spans="1:7" x14ac:dyDescent="0.3">
      <c r="A1126">
        <v>43298</v>
      </c>
      <c r="B1126" t="s">
        <v>7</v>
      </c>
      <c r="C1126" t="s">
        <v>11</v>
      </c>
      <c r="D1126">
        <v>13</v>
      </c>
      <c r="E1126">
        <v>80</v>
      </c>
      <c r="F1126">
        <v>0.06</v>
      </c>
      <c r="G1126" t="s">
        <v>24</v>
      </c>
    </row>
    <row r="1127" spans="1:7" x14ac:dyDescent="0.3">
      <c r="A1127">
        <v>43298</v>
      </c>
      <c r="B1127" t="s">
        <v>20</v>
      </c>
      <c r="C1127" t="s">
        <v>16</v>
      </c>
      <c r="D1127">
        <v>17</v>
      </c>
      <c r="E1127">
        <v>16</v>
      </c>
      <c r="F1127">
        <v>0.05</v>
      </c>
      <c r="G1127" t="s">
        <v>25</v>
      </c>
    </row>
    <row r="1128" spans="1:7" x14ac:dyDescent="0.3">
      <c r="A1128">
        <v>43298</v>
      </c>
      <c r="B1128" t="s">
        <v>13</v>
      </c>
      <c r="C1128" t="s">
        <v>16</v>
      </c>
      <c r="D1128">
        <v>12</v>
      </c>
      <c r="E1128">
        <v>230</v>
      </c>
      <c r="F1128">
        <v>0.03</v>
      </c>
      <c r="G1128" t="s">
        <v>26</v>
      </c>
    </row>
    <row r="1129" spans="1:7" x14ac:dyDescent="0.3">
      <c r="A1129">
        <v>43298</v>
      </c>
      <c r="B1129" t="s">
        <v>10</v>
      </c>
      <c r="C1129" t="s">
        <v>11</v>
      </c>
      <c r="D1129">
        <v>4</v>
      </c>
      <c r="E1129">
        <v>40</v>
      </c>
      <c r="F1129">
        <v>0.12</v>
      </c>
      <c r="G1129" t="s">
        <v>27</v>
      </c>
    </row>
    <row r="1130" spans="1:7" x14ac:dyDescent="0.3">
      <c r="A1130">
        <v>43298</v>
      </c>
      <c r="B1130" t="s">
        <v>20</v>
      </c>
      <c r="C1130" t="s">
        <v>8</v>
      </c>
      <c r="D1130">
        <v>20</v>
      </c>
      <c r="E1130">
        <v>16</v>
      </c>
      <c r="F1130">
        <v>0.01</v>
      </c>
      <c r="G1130" t="s">
        <v>28</v>
      </c>
    </row>
    <row r="1131" spans="1:7" x14ac:dyDescent="0.3">
      <c r="A1131">
        <v>43298</v>
      </c>
      <c r="B1131" t="s">
        <v>7</v>
      </c>
      <c r="C1131" t="s">
        <v>18</v>
      </c>
      <c r="D1131">
        <v>8</v>
      </c>
      <c r="E1131">
        <v>80</v>
      </c>
      <c r="F1131">
        <v>0.06</v>
      </c>
      <c r="G1131" t="s">
        <v>9</v>
      </c>
    </row>
    <row r="1132" spans="1:7" x14ac:dyDescent="0.3">
      <c r="A1132">
        <v>43298</v>
      </c>
      <c r="B1132" t="s">
        <v>7</v>
      </c>
      <c r="C1132" t="s">
        <v>8</v>
      </c>
      <c r="D1132">
        <v>18</v>
      </c>
      <c r="E1132">
        <v>80</v>
      </c>
      <c r="F1132">
        <v>0.02</v>
      </c>
      <c r="G1132" t="s">
        <v>12</v>
      </c>
    </row>
    <row r="1133" spans="1:7" x14ac:dyDescent="0.3">
      <c r="A1133">
        <v>43298</v>
      </c>
      <c r="B1133" t="s">
        <v>20</v>
      </c>
      <c r="C1133" t="s">
        <v>16</v>
      </c>
      <c r="D1133">
        <v>6</v>
      </c>
      <c r="E1133">
        <v>16</v>
      </c>
      <c r="F1133">
        <v>0.06</v>
      </c>
      <c r="G1133" t="s">
        <v>14</v>
      </c>
    </row>
    <row r="1134" spans="1:7" x14ac:dyDescent="0.3">
      <c r="A1134">
        <v>43298</v>
      </c>
      <c r="B1134" t="s">
        <v>7</v>
      </c>
      <c r="C1134" t="s">
        <v>8</v>
      </c>
      <c r="D1134">
        <v>9</v>
      </c>
      <c r="E1134">
        <v>80</v>
      </c>
      <c r="F1134">
        <v>0.04</v>
      </c>
      <c r="G1134" t="s">
        <v>15</v>
      </c>
    </row>
    <row r="1135" spans="1:7" x14ac:dyDescent="0.3">
      <c r="A1135">
        <v>43299</v>
      </c>
      <c r="B1135" t="s">
        <v>7</v>
      </c>
      <c r="C1135" t="s">
        <v>16</v>
      </c>
      <c r="D1135">
        <v>8</v>
      </c>
      <c r="E1135">
        <v>80</v>
      </c>
      <c r="F1135">
        <v>0.02</v>
      </c>
      <c r="G1135" t="s">
        <v>17</v>
      </c>
    </row>
    <row r="1136" spans="1:7" x14ac:dyDescent="0.3">
      <c r="A1136">
        <v>43299</v>
      </c>
      <c r="B1136" t="s">
        <v>23</v>
      </c>
      <c r="C1136" t="s">
        <v>18</v>
      </c>
      <c r="D1136">
        <v>6</v>
      </c>
      <c r="E1136">
        <v>150</v>
      </c>
      <c r="F1136">
        <v>0.03</v>
      </c>
      <c r="G1136" t="s">
        <v>19</v>
      </c>
    </row>
    <row r="1137" spans="1:7" x14ac:dyDescent="0.3">
      <c r="A1137">
        <v>43299</v>
      </c>
      <c r="B1137" t="s">
        <v>20</v>
      </c>
      <c r="C1137" t="s">
        <v>18</v>
      </c>
      <c r="D1137">
        <v>14</v>
      </c>
      <c r="E1137">
        <v>16</v>
      </c>
      <c r="F1137">
        <v>0.12</v>
      </c>
      <c r="G1137" t="s">
        <v>12</v>
      </c>
    </row>
    <row r="1138" spans="1:7" x14ac:dyDescent="0.3">
      <c r="A1138">
        <v>43299</v>
      </c>
      <c r="B1138" t="s">
        <v>7</v>
      </c>
      <c r="C1138" t="s">
        <v>16</v>
      </c>
      <c r="D1138">
        <v>6</v>
      </c>
      <c r="E1138">
        <v>80</v>
      </c>
      <c r="F1138">
        <v>0.09</v>
      </c>
      <c r="G1138" t="s">
        <v>14</v>
      </c>
    </row>
    <row r="1139" spans="1:7" x14ac:dyDescent="0.3">
      <c r="A1139">
        <v>43299</v>
      </c>
      <c r="B1139" t="s">
        <v>10</v>
      </c>
      <c r="C1139" t="s">
        <v>21</v>
      </c>
      <c r="D1139">
        <v>23</v>
      </c>
      <c r="E1139">
        <v>40</v>
      </c>
      <c r="F1139">
        <v>0.04</v>
      </c>
      <c r="G1139" t="s">
        <v>15</v>
      </c>
    </row>
    <row r="1140" spans="1:7" x14ac:dyDescent="0.3">
      <c r="A1140">
        <v>43299</v>
      </c>
      <c r="B1140" t="s">
        <v>10</v>
      </c>
      <c r="C1140" t="s">
        <v>16</v>
      </c>
      <c r="D1140">
        <v>12</v>
      </c>
      <c r="E1140">
        <v>40</v>
      </c>
      <c r="F1140">
        <v>0.02</v>
      </c>
      <c r="G1140" t="s">
        <v>17</v>
      </c>
    </row>
    <row r="1141" spans="1:7" x14ac:dyDescent="0.3">
      <c r="A1141">
        <v>43299</v>
      </c>
      <c r="B1141" t="s">
        <v>10</v>
      </c>
      <c r="C1141" t="s">
        <v>18</v>
      </c>
      <c r="D1141">
        <v>22</v>
      </c>
      <c r="E1141">
        <v>40</v>
      </c>
      <c r="F1141">
        <v>0.01</v>
      </c>
      <c r="G1141" t="s">
        <v>19</v>
      </c>
    </row>
    <row r="1142" spans="1:7" x14ac:dyDescent="0.3">
      <c r="A1142">
        <v>43299</v>
      </c>
      <c r="B1142" t="s">
        <v>23</v>
      </c>
      <c r="C1142" t="s">
        <v>18</v>
      </c>
      <c r="D1142">
        <v>6</v>
      </c>
      <c r="E1142">
        <v>150</v>
      </c>
      <c r="F1142">
        <v>0.03</v>
      </c>
      <c r="G1142" t="s">
        <v>22</v>
      </c>
    </row>
    <row r="1143" spans="1:7" x14ac:dyDescent="0.3">
      <c r="A1143">
        <v>43299</v>
      </c>
      <c r="B1143" t="s">
        <v>20</v>
      </c>
      <c r="C1143" t="s">
        <v>21</v>
      </c>
      <c r="D1143">
        <v>19</v>
      </c>
      <c r="E1143">
        <v>16</v>
      </c>
      <c r="F1143">
        <v>0.02</v>
      </c>
      <c r="G1143" t="s">
        <v>24</v>
      </c>
    </row>
    <row r="1144" spans="1:7" x14ac:dyDescent="0.3">
      <c r="A1144">
        <v>43299</v>
      </c>
      <c r="B1144" t="s">
        <v>10</v>
      </c>
      <c r="C1144" t="s">
        <v>16</v>
      </c>
      <c r="D1144">
        <v>2</v>
      </c>
      <c r="E1144">
        <v>40</v>
      </c>
      <c r="F1144">
        <v>0.02</v>
      </c>
      <c r="G1144" t="s">
        <v>25</v>
      </c>
    </row>
    <row r="1145" spans="1:7" x14ac:dyDescent="0.3">
      <c r="A1145">
        <v>43300</v>
      </c>
      <c r="B1145" t="s">
        <v>10</v>
      </c>
      <c r="C1145" t="s">
        <v>18</v>
      </c>
      <c r="D1145">
        <v>22</v>
      </c>
      <c r="E1145">
        <v>40</v>
      </c>
      <c r="F1145">
        <v>0.01</v>
      </c>
      <c r="G1145" t="s">
        <v>26</v>
      </c>
    </row>
    <row r="1146" spans="1:7" x14ac:dyDescent="0.3">
      <c r="A1146">
        <v>43300</v>
      </c>
      <c r="B1146" t="s">
        <v>13</v>
      </c>
      <c r="C1146" t="s">
        <v>18</v>
      </c>
      <c r="D1146">
        <v>3</v>
      </c>
      <c r="E1146">
        <v>230</v>
      </c>
      <c r="F1146">
        <v>0.01</v>
      </c>
      <c r="G1146" t="s">
        <v>27</v>
      </c>
    </row>
    <row r="1147" spans="1:7" x14ac:dyDescent="0.3">
      <c r="A1147">
        <v>43300</v>
      </c>
      <c r="B1147" t="s">
        <v>10</v>
      </c>
      <c r="C1147" t="s">
        <v>18</v>
      </c>
      <c r="D1147">
        <v>23</v>
      </c>
      <c r="E1147">
        <v>40</v>
      </c>
      <c r="F1147">
        <v>0.06</v>
      </c>
      <c r="G1147" t="s">
        <v>28</v>
      </c>
    </row>
    <row r="1148" spans="1:7" x14ac:dyDescent="0.3">
      <c r="A1148">
        <v>43300</v>
      </c>
      <c r="B1148" t="s">
        <v>10</v>
      </c>
      <c r="C1148" t="s">
        <v>21</v>
      </c>
      <c r="D1148">
        <v>5</v>
      </c>
      <c r="E1148">
        <v>40</v>
      </c>
      <c r="F1148">
        <v>0.03</v>
      </c>
      <c r="G1148" t="s">
        <v>9</v>
      </c>
    </row>
    <row r="1149" spans="1:7" x14ac:dyDescent="0.3">
      <c r="A1149">
        <v>43300</v>
      </c>
      <c r="B1149" t="s">
        <v>7</v>
      </c>
      <c r="C1149" t="s">
        <v>8</v>
      </c>
      <c r="D1149">
        <v>8</v>
      </c>
      <c r="E1149">
        <v>80</v>
      </c>
      <c r="F1149">
        <v>0.08</v>
      </c>
      <c r="G1149" t="s">
        <v>12</v>
      </c>
    </row>
    <row r="1150" spans="1:7" x14ac:dyDescent="0.3">
      <c r="A1150">
        <v>43300</v>
      </c>
      <c r="B1150" t="s">
        <v>10</v>
      </c>
      <c r="C1150" t="s">
        <v>16</v>
      </c>
      <c r="D1150">
        <v>18</v>
      </c>
      <c r="E1150">
        <v>40</v>
      </c>
      <c r="F1150">
        <v>0.03</v>
      </c>
      <c r="G1150" t="s">
        <v>14</v>
      </c>
    </row>
    <row r="1151" spans="1:7" x14ac:dyDescent="0.3">
      <c r="A1151">
        <v>43300</v>
      </c>
      <c r="B1151" t="s">
        <v>10</v>
      </c>
      <c r="C1151" t="s">
        <v>21</v>
      </c>
      <c r="D1151">
        <v>20</v>
      </c>
      <c r="E1151">
        <v>40</v>
      </c>
      <c r="F1151">
        <v>0.1</v>
      </c>
      <c r="G1151" t="s">
        <v>15</v>
      </c>
    </row>
    <row r="1152" spans="1:7" x14ac:dyDescent="0.3">
      <c r="A1152">
        <v>43300</v>
      </c>
      <c r="B1152" t="s">
        <v>10</v>
      </c>
      <c r="C1152" t="s">
        <v>16</v>
      </c>
      <c r="D1152">
        <v>2</v>
      </c>
      <c r="E1152">
        <v>40</v>
      </c>
      <c r="F1152">
        <v>0.03</v>
      </c>
      <c r="G1152" t="s">
        <v>17</v>
      </c>
    </row>
    <row r="1153" spans="1:7" x14ac:dyDescent="0.3">
      <c r="A1153">
        <v>43300</v>
      </c>
      <c r="B1153" t="s">
        <v>13</v>
      </c>
      <c r="C1153" t="s">
        <v>8</v>
      </c>
      <c r="D1153">
        <v>15</v>
      </c>
      <c r="E1153">
        <v>230</v>
      </c>
      <c r="F1153">
        <v>0.05</v>
      </c>
      <c r="G1153" t="s">
        <v>19</v>
      </c>
    </row>
    <row r="1154" spans="1:7" x14ac:dyDescent="0.3">
      <c r="A1154">
        <v>43300</v>
      </c>
      <c r="B1154" t="s">
        <v>23</v>
      </c>
      <c r="C1154" t="s">
        <v>18</v>
      </c>
      <c r="D1154">
        <v>15</v>
      </c>
      <c r="E1154">
        <v>150</v>
      </c>
      <c r="F1154">
        <v>0.08</v>
      </c>
      <c r="G1154" t="s">
        <v>12</v>
      </c>
    </row>
    <row r="1155" spans="1:7" x14ac:dyDescent="0.3">
      <c r="A1155">
        <v>43300</v>
      </c>
      <c r="B1155" t="s">
        <v>23</v>
      </c>
      <c r="C1155" t="s">
        <v>18</v>
      </c>
      <c r="D1155">
        <v>22</v>
      </c>
      <c r="E1155">
        <v>150</v>
      </c>
      <c r="F1155">
        <v>0.05</v>
      </c>
      <c r="G1155" t="s">
        <v>14</v>
      </c>
    </row>
    <row r="1156" spans="1:7" x14ac:dyDescent="0.3">
      <c r="A1156">
        <v>43300</v>
      </c>
      <c r="B1156" t="s">
        <v>13</v>
      </c>
      <c r="C1156" t="s">
        <v>11</v>
      </c>
      <c r="D1156">
        <v>19</v>
      </c>
      <c r="E1156">
        <v>230</v>
      </c>
      <c r="F1156">
        <v>0.11</v>
      </c>
      <c r="G1156" t="s">
        <v>15</v>
      </c>
    </row>
    <row r="1157" spans="1:7" x14ac:dyDescent="0.3">
      <c r="A1157">
        <v>43300</v>
      </c>
      <c r="B1157" t="s">
        <v>7</v>
      </c>
      <c r="C1157" t="s">
        <v>11</v>
      </c>
      <c r="D1157">
        <v>10</v>
      </c>
      <c r="E1157">
        <v>80</v>
      </c>
      <c r="F1157">
        <v>0.11</v>
      </c>
      <c r="G1157" t="s">
        <v>17</v>
      </c>
    </row>
    <row r="1158" spans="1:7" x14ac:dyDescent="0.3">
      <c r="A1158">
        <v>43300</v>
      </c>
      <c r="B1158" t="s">
        <v>10</v>
      </c>
      <c r="C1158" t="s">
        <v>18</v>
      </c>
      <c r="D1158">
        <v>18</v>
      </c>
      <c r="E1158">
        <v>40</v>
      </c>
      <c r="F1158">
        <v>0.06</v>
      </c>
      <c r="G1158" t="s">
        <v>19</v>
      </c>
    </row>
    <row r="1159" spans="1:7" x14ac:dyDescent="0.3">
      <c r="A1159">
        <v>43300</v>
      </c>
      <c r="B1159" t="s">
        <v>7</v>
      </c>
      <c r="C1159" t="s">
        <v>18</v>
      </c>
      <c r="D1159">
        <v>16</v>
      </c>
      <c r="E1159">
        <v>80</v>
      </c>
      <c r="F1159">
        <v>0.05</v>
      </c>
      <c r="G1159" t="s">
        <v>22</v>
      </c>
    </row>
    <row r="1160" spans="1:7" x14ac:dyDescent="0.3">
      <c r="A1160">
        <v>43300</v>
      </c>
      <c r="B1160" t="s">
        <v>23</v>
      </c>
      <c r="C1160" t="s">
        <v>21</v>
      </c>
      <c r="D1160">
        <v>17</v>
      </c>
      <c r="E1160">
        <v>150</v>
      </c>
      <c r="F1160">
        <v>0.02</v>
      </c>
      <c r="G1160" t="s">
        <v>24</v>
      </c>
    </row>
    <row r="1161" spans="1:7" x14ac:dyDescent="0.3">
      <c r="A1161">
        <v>43301</v>
      </c>
      <c r="B1161" t="s">
        <v>13</v>
      </c>
      <c r="C1161" t="s">
        <v>8</v>
      </c>
      <c r="D1161">
        <v>8</v>
      </c>
      <c r="E1161">
        <v>230</v>
      </c>
      <c r="F1161">
        <v>0.03</v>
      </c>
      <c r="G1161" t="s">
        <v>25</v>
      </c>
    </row>
    <row r="1162" spans="1:7" x14ac:dyDescent="0.3">
      <c r="A1162">
        <v>43301</v>
      </c>
      <c r="B1162" t="s">
        <v>7</v>
      </c>
      <c r="C1162" t="s">
        <v>18</v>
      </c>
      <c r="D1162">
        <v>11</v>
      </c>
      <c r="E1162">
        <v>80</v>
      </c>
      <c r="F1162">
        <v>0.01</v>
      </c>
      <c r="G1162" t="s">
        <v>26</v>
      </c>
    </row>
    <row r="1163" spans="1:7" x14ac:dyDescent="0.3">
      <c r="A1163">
        <v>43301</v>
      </c>
      <c r="B1163" t="s">
        <v>10</v>
      </c>
      <c r="C1163" t="s">
        <v>8</v>
      </c>
      <c r="D1163">
        <v>5</v>
      </c>
      <c r="E1163">
        <v>40</v>
      </c>
      <c r="F1163">
        <v>0.06</v>
      </c>
      <c r="G1163" t="s">
        <v>27</v>
      </c>
    </row>
    <row r="1164" spans="1:7" x14ac:dyDescent="0.3">
      <c r="A1164">
        <v>43301</v>
      </c>
      <c r="B1164" t="s">
        <v>10</v>
      </c>
      <c r="C1164" t="s">
        <v>21</v>
      </c>
      <c r="D1164">
        <v>11</v>
      </c>
      <c r="E1164">
        <v>40</v>
      </c>
      <c r="F1164">
        <v>0.05</v>
      </c>
      <c r="G1164" t="s">
        <v>28</v>
      </c>
    </row>
    <row r="1165" spans="1:7" x14ac:dyDescent="0.3">
      <c r="A1165">
        <v>43301</v>
      </c>
      <c r="B1165" t="s">
        <v>23</v>
      </c>
      <c r="C1165" t="s">
        <v>18</v>
      </c>
      <c r="D1165">
        <v>20</v>
      </c>
      <c r="E1165">
        <v>150</v>
      </c>
      <c r="F1165">
        <v>0.1</v>
      </c>
      <c r="G1165" t="s">
        <v>9</v>
      </c>
    </row>
    <row r="1166" spans="1:7" x14ac:dyDescent="0.3">
      <c r="A1166">
        <v>43301</v>
      </c>
      <c r="B1166" t="s">
        <v>23</v>
      </c>
      <c r="C1166" t="s">
        <v>16</v>
      </c>
      <c r="D1166">
        <v>11</v>
      </c>
      <c r="E1166">
        <v>150</v>
      </c>
      <c r="F1166">
        <v>0.11</v>
      </c>
      <c r="G1166" t="s">
        <v>12</v>
      </c>
    </row>
    <row r="1167" spans="1:7" x14ac:dyDescent="0.3">
      <c r="A1167">
        <v>43301</v>
      </c>
      <c r="B1167" t="s">
        <v>7</v>
      </c>
      <c r="C1167" t="s">
        <v>18</v>
      </c>
      <c r="D1167">
        <v>2</v>
      </c>
      <c r="E1167">
        <v>80</v>
      </c>
      <c r="F1167">
        <v>0.08</v>
      </c>
      <c r="G1167" t="s">
        <v>14</v>
      </c>
    </row>
    <row r="1168" spans="1:7" x14ac:dyDescent="0.3">
      <c r="A1168">
        <v>43301</v>
      </c>
      <c r="B1168" t="s">
        <v>23</v>
      </c>
      <c r="C1168" t="s">
        <v>11</v>
      </c>
      <c r="D1168">
        <v>16</v>
      </c>
      <c r="E1168">
        <v>150</v>
      </c>
      <c r="F1168">
        <v>0.08</v>
      </c>
      <c r="G1168" t="s">
        <v>15</v>
      </c>
    </row>
    <row r="1169" spans="1:7" x14ac:dyDescent="0.3">
      <c r="A1169">
        <v>43301</v>
      </c>
      <c r="B1169" t="s">
        <v>20</v>
      </c>
      <c r="C1169" t="s">
        <v>8</v>
      </c>
      <c r="D1169">
        <v>20</v>
      </c>
      <c r="E1169">
        <v>16</v>
      </c>
      <c r="F1169">
        <v>0.11</v>
      </c>
      <c r="G1169" t="s">
        <v>17</v>
      </c>
    </row>
    <row r="1170" spans="1:7" x14ac:dyDescent="0.3">
      <c r="A1170">
        <v>43301</v>
      </c>
      <c r="B1170" t="s">
        <v>13</v>
      </c>
      <c r="C1170" t="s">
        <v>16</v>
      </c>
      <c r="D1170">
        <v>2</v>
      </c>
      <c r="E1170">
        <v>230</v>
      </c>
      <c r="F1170">
        <v>0.09</v>
      </c>
      <c r="G1170" t="s">
        <v>19</v>
      </c>
    </row>
    <row r="1171" spans="1:7" x14ac:dyDescent="0.3">
      <c r="A1171">
        <v>43301</v>
      </c>
      <c r="B1171" t="s">
        <v>23</v>
      </c>
      <c r="C1171" t="s">
        <v>8</v>
      </c>
      <c r="D1171">
        <v>20</v>
      </c>
      <c r="E1171">
        <v>150</v>
      </c>
      <c r="F1171">
        <v>0.04</v>
      </c>
      <c r="G1171" t="s">
        <v>12</v>
      </c>
    </row>
    <row r="1172" spans="1:7" x14ac:dyDescent="0.3">
      <c r="A1172">
        <v>43301</v>
      </c>
      <c r="B1172" t="s">
        <v>23</v>
      </c>
      <c r="C1172" t="s">
        <v>8</v>
      </c>
      <c r="D1172">
        <v>22</v>
      </c>
      <c r="E1172">
        <v>150</v>
      </c>
      <c r="F1172">
        <v>7.0000000000000007E-2</v>
      </c>
      <c r="G1172" t="s">
        <v>14</v>
      </c>
    </row>
    <row r="1173" spans="1:7" x14ac:dyDescent="0.3">
      <c r="A1173">
        <v>43301</v>
      </c>
      <c r="B1173" t="s">
        <v>23</v>
      </c>
      <c r="C1173" t="s">
        <v>16</v>
      </c>
      <c r="D1173">
        <v>22</v>
      </c>
      <c r="E1173">
        <v>150</v>
      </c>
      <c r="F1173">
        <v>0.04</v>
      </c>
      <c r="G1173" t="s">
        <v>15</v>
      </c>
    </row>
    <row r="1174" spans="1:7" x14ac:dyDescent="0.3">
      <c r="A1174">
        <v>43301</v>
      </c>
      <c r="B1174" t="s">
        <v>10</v>
      </c>
      <c r="C1174" t="s">
        <v>8</v>
      </c>
      <c r="D1174">
        <v>23</v>
      </c>
      <c r="E1174">
        <v>40</v>
      </c>
      <c r="F1174">
        <v>7.0000000000000007E-2</v>
      </c>
      <c r="G1174" t="s">
        <v>17</v>
      </c>
    </row>
    <row r="1175" spans="1:7" x14ac:dyDescent="0.3">
      <c r="A1175">
        <v>43302</v>
      </c>
      <c r="B1175" t="s">
        <v>20</v>
      </c>
      <c r="C1175" t="s">
        <v>16</v>
      </c>
      <c r="D1175">
        <v>11</v>
      </c>
      <c r="E1175">
        <v>16</v>
      </c>
      <c r="F1175">
        <v>0.04</v>
      </c>
      <c r="G1175" t="s">
        <v>19</v>
      </c>
    </row>
    <row r="1176" spans="1:7" x14ac:dyDescent="0.3">
      <c r="A1176">
        <v>43302</v>
      </c>
      <c r="B1176" t="s">
        <v>13</v>
      </c>
      <c r="C1176" t="s">
        <v>11</v>
      </c>
      <c r="D1176">
        <v>11</v>
      </c>
      <c r="E1176">
        <v>230</v>
      </c>
      <c r="F1176">
        <v>0.1</v>
      </c>
      <c r="G1176" t="s">
        <v>22</v>
      </c>
    </row>
    <row r="1177" spans="1:7" x14ac:dyDescent="0.3">
      <c r="A1177">
        <v>43302</v>
      </c>
      <c r="B1177" t="s">
        <v>13</v>
      </c>
      <c r="C1177" t="s">
        <v>8</v>
      </c>
      <c r="D1177">
        <v>7</v>
      </c>
      <c r="E1177">
        <v>230</v>
      </c>
      <c r="F1177">
        <v>0.08</v>
      </c>
      <c r="G1177" t="s">
        <v>24</v>
      </c>
    </row>
    <row r="1178" spans="1:7" x14ac:dyDescent="0.3">
      <c r="A1178">
        <v>43302</v>
      </c>
      <c r="B1178" t="s">
        <v>23</v>
      </c>
      <c r="C1178" t="s">
        <v>11</v>
      </c>
      <c r="D1178">
        <v>13</v>
      </c>
      <c r="E1178">
        <v>150</v>
      </c>
      <c r="F1178">
        <v>0.08</v>
      </c>
      <c r="G1178" t="s">
        <v>25</v>
      </c>
    </row>
    <row r="1179" spans="1:7" x14ac:dyDescent="0.3">
      <c r="A1179">
        <v>43302</v>
      </c>
      <c r="B1179" t="s">
        <v>13</v>
      </c>
      <c r="C1179" t="s">
        <v>18</v>
      </c>
      <c r="D1179">
        <v>16</v>
      </c>
      <c r="E1179">
        <v>230</v>
      </c>
      <c r="F1179">
        <v>0.11</v>
      </c>
      <c r="G1179" t="s">
        <v>26</v>
      </c>
    </row>
    <row r="1180" spans="1:7" x14ac:dyDescent="0.3">
      <c r="A1180">
        <v>43302</v>
      </c>
      <c r="B1180" t="s">
        <v>13</v>
      </c>
      <c r="C1180" t="s">
        <v>21</v>
      </c>
      <c r="D1180">
        <v>20</v>
      </c>
      <c r="E1180">
        <v>230</v>
      </c>
      <c r="F1180">
        <v>0.09</v>
      </c>
      <c r="G1180" t="s">
        <v>27</v>
      </c>
    </row>
    <row r="1181" spans="1:7" x14ac:dyDescent="0.3">
      <c r="A1181">
        <v>43302</v>
      </c>
      <c r="B1181" t="s">
        <v>10</v>
      </c>
      <c r="C1181" t="s">
        <v>16</v>
      </c>
      <c r="D1181">
        <v>20</v>
      </c>
      <c r="E1181">
        <v>40</v>
      </c>
      <c r="F1181">
        <v>0.01</v>
      </c>
      <c r="G1181" t="s">
        <v>28</v>
      </c>
    </row>
    <row r="1182" spans="1:7" x14ac:dyDescent="0.3">
      <c r="A1182">
        <v>43302</v>
      </c>
      <c r="B1182" t="s">
        <v>7</v>
      </c>
      <c r="C1182" t="s">
        <v>8</v>
      </c>
      <c r="D1182">
        <v>20</v>
      </c>
      <c r="E1182">
        <v>80</v>
      </c>
      <c r="F1182">
        <v>0.01</v>
      </c>
      <c r="G1182" t="s">
        <v>9</v>
      </c>
    </row>
    <row r="1183" spans="1:7" x14ac:dyDescent="0.3">
      <c r="A1183">
        <v>43302</v>
      </c>
      <c r="B1183" t="s">
        <v>23</v>
      </c>
      <c r="C1183" t="s">
        <v>8</v>
      </c>
      <c r="D1183">
        <v>5</v>
      </c>
      <c r="E1183">
        <v>150</v>
      </c>
      <c r="F1183">
        <v>0.11</v>
      </c>
      <c r="G1183" t="s">
        <v>12</v>
      </c>
    </row>
    <row r="1184" spans="1:7" x14ac:dyDescent="0.3">
      <c r="A1184">
        <v>43303</v>
      </c>
      <c r="B1184" t="s">
        <v>10</v>
      </c>
      <c r="C1184" t="s">
        <v>16</v>
      </c>
      <c r="D1184">
        <v>4</v>
      </c>
      <c r="E1184">
        <v>40</v>
      </c>
      <c r="F1184">
        <v>0.11</v>
      </c>
      <c r="G1184" t="s">
        <v>14</v>
      </c>
    </row>
    <row r="1185" spans="1:7" x14ac:dyDescent="0.3">
      <c r="A1185">
        <v>43303</v>
      </c>
      <c r="B1185" t="s">
        <v>20</v>
      </c>
      <c r="C1185" t="s">
        <v>8</v>
      </c>
      <c r="D1185">
        <v>7</v>
      </c>
      <c r="E1185">
        <v>16</v>
      </c>
      <c r="F1185">
        <v>0.12</v>
      </c>
      <c r="G1185" t="s">
        <v>15</v>
      </c>
    </row>
    <row r="1186" spans="1:7" x14ac:dyDescent="0.3">
      <c r="A1186">
        <v>43303</v>
      </c>
      <c r="B1186" t="s">
        <v>20</v>
      </c>
      <c r="C1186" t="s">
        <v>11</v>
      </c>
      <c r="D1186">
        <v>22</v>
      </c>
      <c r="E1186">
        <v>16</v>
      </c>
      <c r="F1186">
        <v>0.01</v>
      </c>
      <c r="G1186" t="s">
        <v>17</v>
      </c>
    </row>
    <row r="1187" spans="1:7" x14ac:dyDescent="0.3">
      <c r="A1187">
        <v>43303</v>
      </c>
      <c r="B1187" t="s">
        <v>10</v>
      </c>
      <c r="C1187" t="s">
        <v>18</v>
      </c>
      <c r="D1187">
        <v>15</v>
      </c>
      <c r="E1187">
        <v>40</v>
      </c>
      <c r="F1187">
        <v>0.03</v>
      </c>
      <c r="G1187" t="s">
        <v>19</v>
      </c>
    </row>
    <row r="1188" spans="1:7" x14ac:dyDescent="0.3">
      <c r="A1188">
        <v>43303</v>
      </c>
      <c r="B1188" t="s">
        <v>7</v>
      </c>
      <c r="C1188" t="s">
        <v>11</v>
      </c>
      <c r="D1188">
        <v>14</v>
      </c>
      <c r="E1188">
        <v>80</v>
      </c>
      <c r="F1188">
        <v>0.11</v>
      </c>
      <c r="G1188" t="s">
        <v>12</v>
      </c>
    </row>
    <row r="1189" spans="1:7" x14ac:dyDescent="0.3">
      <c r="A1189">
        <v>43303</v>
      </c>
      <c r="B1189" t="s">
        <v>20</v>
      </c>
      <c r="C1189" t="s">
        <v>11</v>
      </c>
      <c r="D1189">
        <v>15</v>
      </c>
      <c r="E1189">
        <v>16</v>
      </c>
      <c r="F1189">
        <v>0.02</v>
      </c>
      <c r="G1189" t="s">
        <v>14</v>
      </c>
    </row>
    <row r="1190" spans="1:7" x14ac:dyDescent="0.3">
      <c r="A1190">
        <v>43304</v>
      </c>
      <c r="B1190" t="s">
        <v>7</v>
      </c>
      <c r="C1190" t="s">
        <v>18</v>
      </c>
      <c r="D1190">
        <v>19</v>
      </c>
      <c r="E1190">
        <v>80</v>
      </c>
      <c r="F1190">
        <v>0.02</v>
      </c>
      <c r="G1190" t="s">
        <v>15</v>
      </c>
    </row>
    <row r="1191" spans="1:7" x14ac:dyDescent="0.3">
      <c r="A1191">
        <v>43304</v>
      </c>
      <c r="B1191" t="s">
        <v>10</v>
      </c>
      <c r="C1191" t="s">
        <v>21</v>
      </c>
      <c r="D1191">
        <v>20</v>
      </c>
      <c r="E1191">
        <v>40</v>
      </c>
      <c r="F1191">
        <v>0.05</v>
      </c>
      <c r="G1191" t="s">
        <v>17</v>
      </c>
    </row>
    <row r="1192" spans="1:7" x14ac:dyDescent="0.3">
      <c r="A1192">
        <v>43304</v>
      </c>
      <c r="B1192" t="s">
        <v>10</v>
      </c>
      <c r="C1192" t="s">
        <v>18</v>
      </c>
      <c r="D1192">
        <v>11</v>
      </c>
      <c r="E1192">
        <v>40</v>
      </c>
      <c r="F1192">
        <v>0.06</v>
      </c>
      <c r="G1192" t="s">
        <v>19</v>
      </c>
    </row>
    <row r="1193" spans="1:7" x14ac:dyDescent="0.3">
      <c r="A1193">
        <v>43304</v>
      </c>
      <c r="B1193" t="s">
        <v>23</v>
      </c>
      <c r="C1193" t="s">
        <v>16</v>
      </c>
      <c r="D1193">
        <v>11</v>
      </c>
      <c r="E1193">
        <v>150</v>
      </c>
      <c r="F1193">
        <v>0.05</v>
      </c>
      <c r="G1193" t="s">
        <v>22</v>
      </c>
    </row>
    <row r="1194" spans="1:7" x14ac:dyDescent="0.3">
      <c r="A1194">
        <v>43304</v>
      </c>
      <c r="B1194" t="s">
        <v>7</v>
      </c>
      <c r="C1194" t="s">
        <v>18</v>
      </c>
      <c r="D1194">
        <v>23</v>
      </c>
      <c r="E1194">
        <v>80</v>
      </c>
      <c r="F1194">
        <v>0.11</v>
      </c>
      <c r="G1194" t="s">
        <v>24</v>
      </c>
    </row>
    <row r="1195" spans="1:7" x14ac:dyDescent="0.3">
      <c r="A1195">
        <v>43304</v>
      </c>
      <c r="B1195" t="s">
        <v>7</v>
      </c>
      <c r="C1195" t="s">
        <v>8</v>
      </c>
      <c r="D1195">
        <v>8</v>
      </c>
      <c r="E1195">
        <v>80</v>
      </c>
      <c r="F1195">
        <v>0.09</v>
      </c>
      <c r="G1195" t="s">
        <v>25</v>
      </c>
    </row>
    <row r="1196" spans="1:7" x14ac:dyDescent="0.3">
      <c r="A1196">
        <v>43304</v>
      </c>
      <c r="B1196" t="s">
        <v>10</v>
      </c>
      <c r="C1196" t="s">
        <v>18</v>
      </c>
      <c r="D1196">
        <v>9</v>
      </c>
      <c r="E1196">
        <v>40</v>
      </c>
      <c r="F1196">
        <v>0.06</v>
      </c>
      <c r="G1196" t="s">
        <v>26</v>
      </c>
    </row>
    <row r="1197" spans="1:7" x14ac:dyDescent="0.3">
      <c r="A1197">
        <v>43304</v>
      </c>
      <c r="B1197" t="s">
        <v>13</v>
      </c>
      <c r="C1197" t="s">
        <v>21</v>
      </c>
      <c r="D1197">
        <v>13</v>
      </c>
      <c r="E1197">
        <v>230</v>
      </c>
      <c r="F1197">
        <v>0.06</v>
      </c>
      <c r="G1197" t="s">
        <v>27</v>
      </c>
    </row>
    <row r="1198" spans="1:7" x14ac:dyDescent="0.3">
      <c r="A1198">
        <v>43304</v>
      </c>
      <c r="B1198" t="s">
        <v>10</v>
      </c>
      <c r="C1198" t="s">
        <v>18</v>
      </c>
      <c r="D1198">
        <v>22</v>
      </c>
      <c r="E1198">
        <v>40</v>
      </c>
      <c r="F1198">
        <v>0.01</v>
      </c>
      <c r="G1198" t="s">
        <v>28</v>
      </c>
    </row>
    <row r="1199" spans="1:7" x14ac:dyDescent="0.3">
      <c r="A1199">
        <v>43304</v>
      </c>
      <c r="B1199" t="s">
        <v>20</v>
      </c>
      <c r="C1199" t="s">
        <v>21</v>
      </c>
      <c r="D1199">
        <v>14</v>
      </c>
      <c r="E1199">
        <v>16</v>
      </c>
      <c r="F1199">
        <v>0.06</v>
      </c>
      <c r="G1199" t="s">
        <v>9</v>
      </c>
    </row>
    <row r="1200" spans="1:7" x14ac:dyDescent="0.3">
      <c r="A1200">
        <v>43305</v>
      </c>
      <c r="B1200" t="s">
        <v>7</v>
      </c>
      <c r="C1200" t="s">
        <v>11</v>
      </c>
      <c r="D1200">
        <v>5</v>
      </c>
      <c r="E1200">
        <v>80</v>
      </c>
      <c r="F1200">
        <v>0.04</v>
      </c>
      <c r="G1200" t="s">
        <v>12</v>
      </c>
    </row>
    <row r="1201" spans="1:7" x14ac:dyDescent="0.3">
      <c r="A1201">
        <v>43305</v>
      </c>
      <c r="B1201" t="s">
        <v>23</v>
      </c>
      <c r="C1201" t="s">
        <v>21</v>
      </c>
      <c r="D1201">
        <v>18</v>
      </c>
      <c r="E1201">
        <v>150</v>
      </c>
      <c r="F1201">
        <v>0.12</v>
      </c>
      <c r="G1201" t="s">
        <v>14</v>
      </c>
    </row>
    <row r="1202" spans="1:7" x14ac:dyDescent="0.3">
      <c r="A1202">
        <v>43305</v>
      </c>
      <c r="B1202" t="s">
        <v>13</v>
      </c>
      <c r="C1202" t="s">
        <v>16</v>
      </c>
      <c r="D1202">
        <v>14</v>
      </c>
      <c r="E1202">
        <v>230</v>
      </c>
      <c r="F1202">
        <v>0.12</v>
      </c>
      <c r="G1202" t="s">
        <v>15</v>
      </c>
    </row>
    <row r="1203" spans="1:7" x14ac:dyDescent="0.3">
      <c r="A1203">
        <v>43305</v>
      </c>
      <c r="B1203" t="s">
        <v>13</v>
      </c>
      <c r="C1203" t="s">
        <v>21</v>
      </c>
      <c r="D1203">
        <v>20</v>
      </c>
      <c r="E1203">
        <v>230</v>
      </c>
      <c r="F1203">
        <v>0.11</v>
      </c>
      <c r="G1203" t="s">
        <v>17</v>
      </c>
    </row>
    <row r="1204" spans="1:7" x14ac:dyDescent="0.3">
      <c r="A1204">
        <v>43305</v>
      </c>
      <c r="B1204" t="s">
        <v>20</v>
      </c>
      <c r="C1204" t="s">
        <v>21</v>
      </c>
      <c r="D1204">
        <v>3</v>
      </c>
      <c r="E1204">
        <v>16</v>
      </c>
      <c r="F1204">
        <v>0.03</v>
      </c>
      <c r="G1204" t="s">
        <v>19</v>
      </c>
    </row>
    <row r="1205" spans="1:7" x14ac:dyDescent="0.3">
      <c r="A1205">
        <v>43305</v>
      </c>
      <c r="B1205" t="s">
        <v>13</v>
      </c>
      <c r="C1205" t="s">
        <v>16</v>
      </c>
      <c r="D1205">
        <v>20</v>
      </c>
      <c r="E1205">
        <v>230</v>
      </c>
      <c r="F1205">
        <v>0.06</v>
      </c>
      <c r="G1205" t="s">
        <v>12</v>
      </c>
    </row>
    <row r="1206" spans="1:7" x14ac:dyDescent="0.3">
      <c r="A1206">
        <v>43305</v>
      </c>
      <c r="B1206" t="s">
        <v>7</v>
      </c>
      <c r="C1206" t="s">
        <v>21</v>
      </c>
      <c r="D1206">
        <v>9</v>
      </c>
      <c r="E1206">
        <v>80</v>
      </c>
      <c r="F1206">
        <v>0.02</v>
      </c>
      <c r="G1206" t="s">
        <v>14</v>
      </c>
    </row>
    <row r="1207" spans="1:7" x14ac:dyDescent="0.3">
      <c r="A1207">
        <v>43305</v>
      </c>
      <c r="B1207" t="s">
        <v>20</v>
      </c>
      <c r="C1207" t="s">
        <v>18</v>
      </c>
      <c r="D1207">
        <v>22</v>
      </c>
      <c r="E1207">
        <v>16</v>
      </c>
      <c r="F1207">
        <v>0.03</v>
      </c>
      <c r="G1207" t="s">
        <v>15</v>
      </c>
    </row>
    <row r="1208" spans="1:7" x14ac:dyDescent="0.3">
      <c r="A1208">
        <v>43305</v>
      </c>
      <c r="B1208" t="s">
        <v>7</v>
      </c>
      <c r="C1208" t="s">
        <v>11</v>
      </c>
      <c r="D1208">
        <v>15</v>
      </c>
      <c r="E1208">
        <v>80</v>
      </c>
      <c r="F1208">
        <v>0.12</v>
      </c>
      <c r="G1208" t="s">
        <v>17</v>
      </c>
    </row>
    <row r="1209" spans="1:7" x14ac:dyDescent="0.3">
      <c r="A1209">
        <v>43305</v>
      </c>
      <c r="B1209" t="s">
        <v>23</v>
      </c>
      <c r="C1209" t="s">
        <v>8</v>
      </c>
      <c r="D1209">
        <v>11</v>
      </c>
      <c r="E1209">
        <v>150</v>
      </c>
      <c r="F1209">
        <v>0.05</v>
      </c>
      <c r="G1209" t="s">
        <v>19</v>
      </c>
    </row>
    <row r="1210" spans="1:7" x14ac:dyDescent="0.3">
      <c r="A1210">
        <v>43305</v>
      </c>
      <c r="B1210" t="s">
        <v>13</v>
      </c>
      <c r="C1210" t="s">
        <v>18</v>
      </c>
      <c r="D1210">
        <v>11</v>
      </c>
      <c r="E1210">
        <v>230</v>
      </c>
      <c r="F1210">
        <v>0.12</v>
      </c>
      <c r="G1210" t="s">
        <v>22</v>
      </c>
    </row>
    <row r="1211" spans="1:7" x14ac:dyDescent="0.3">
      <c r="A1211">
        <v>43305</v>
      </c>
      <c r="B1211" t="s">
        <v>23</v>
      </c>
      <c r="C1211" t="s">
        <v>8</v>
      </c>
      <c r="D1211">
        <v>20</v>
      </c>
      <c r="E1211">
        <v>150</v>
      </c>
      <c r="F1211">
        <v>0.01</v>
      </c>
      <c r="G1211" t="s">
        <v>24</v>
      </c>
    </row>
    <row r="1212" spans="1:7" x14ac:dyDescent="0.3">
      <c r="A1212">
        <v>43305</v>
      </c>
      <c r="B1212" t="s">
        <v>10</v>
      </c>
      <c r="C1212" t="s">
        <v>16</v>
      </c>
      <c r="D1212">
        <v>11</v>
      </c>
      <c r="E1212">
        <v>40</v>
      </c>
      <c r="F1212">
        <v>0.12</v>
      </c>
      <c r="G1212" t="s">
        <v>25</v>
      </c>
    </row>
    <row r="1213" spans="1:7" x14ac:dyDescent="0.3">
      <c r="A1213">
        <v>43306</v>
      </c>
      <c r="B1213" t="s">
        <v>13</v>
      </c>
      <c r="C1213" t="s">
        <v>16</v>
      </c>
      <c r="D1213">
        <v>12</v>
      </c>
      <c r="E1213">
        <v>230</v>
      </c>
      <c r="F1213">
        <v>0.06</v>
      </c>
      <c r="G1213" t="s">
        <v>26</v>
      </c>
    </row>
    <row r="1214" spans="1:7" x14ac:dyDescent="0.3">
      <c r="A1214">
        <v>43306</v>
      </c>
      <c r="B1214" t="s">
        <v>10</v>
      </c>
      <c r="C1214" t="s">
        <v>8</v>
      </c>
      <c r="D1214">
        <v>15</v>
      </c>
      <c r="E1214">
        <v>40</v>
      </c>
      <c r="F1214">
        <v>0.06</v>
      </c>
      <c r="G1214" t="s">
        <v>27</v>
      </c>
    </row>
    <row r="1215" spans="1:7" x14ac:dyDescent="0.3">
      <c r="A1215">
        <v>43306</v>
      </c>
      <c r="B1215" t="s">
        <v>10</v>
      </c>
      <c r="C1215" t="s">
        <v>18</v>
      </c>
      <c r="D1215">
        <v>13</v>
      </c>
      <c r="E1215">
        <v>40</v>
      </c>
      <c r="F1215">
        <v>0.09</v>
      </c>
      <c r="G1215" t="s">
        <v>28</v>
      </c>
    </row>
    <row r="1216" spans="1:7" x14ac:dyDescent="0.3">
      <c r="A1216">
        <v>43306</v>
      </c>
      <c r="B1216" t="s">
        <v>10</v>
      </c>
      <c r="C1216" t="s">
        <v>21</v>
      </c>
      <c r="D1216">
        <v>4</v>
      </c>
      <c r="E1216">
        <v>40</v>
      </c>
      <c r="F1216">
        <v>0.09</v>
      </c>
      <c r="G1216" t="s">
        <v>9</v>
      </c>
    </row>
    <row r="1217" spans="1:7" x14ac:dyDescent="0.3">
      <c r="A1217">
        <v>43306</v>
      </c>
      <c r="B1217" t="s">
        <v>13</v>
      </c>
      <c r="C1217" t="s">
        <v>18</v>
      </c>
      <c r="D1217">
        <v>18</v>
      </c>
      <c r="E1217">
        <v>230</v>
      </c>
      <c r="F1217">
        <v>0.01</v>
      </c>
      <c r="G1217" t="s">
        <v>12</v>
      </c>
    </row>
    <row r="1218" spans="1:7" x14ac:dyDescent="0.3">
      <c r="A1218">
        <v>43306</v>
      </c>
      <c r="B1218" t="s">
        <v>20</v>
      </c>
      <c r="C1218" t="s">
        <v>8</v>
      </c>
      <c r="D1218">
        <v>7</v>
      </c>
      <c r="E1218">
        <v>16</v>
      </c>
      <c r="F1218">
        <v>0.02</v>
      </c>
      <c r="G1218" t="s">
        <v>14</v>
      </c>
    </row>
    <row r="1219" spans="1:7" x14ac:dyDescent="0.3">
      <c r="A1219">
        <v>43306</v>
      </c>
      <c r="B1219" t="s">
        <v>20</v>
      </c>
      <c r="C1219" t="s">
        <v>16</v>
      </c>
      <c r="D1219">
        <v>6</v>
      </c>
      <c r="E1219">
        <v>16</v>
      </c>
      <c r="F1219">
        <v>7.0000000000000007E-2</v>
      </c>
      <c r="G1219" t="s">
        <v>15</v>
      </c>
    </row>
    <row r="1220" spans="1:7" x14ac:dyDescent="0.3">
      <c r="A1220">
        <v>43306</v>
      </c>
      <c r="B1220" t="s">
        <v>13</v>
      </c>
      <c r="C1220" t="s">
        <v>18</v>
      </c>
      <c r="D1220">
        <v>8</v>
      </c>
      <c r="E1220">
        <v>230</v>
      </c>
      <c r="F1220">
        <v>0.05</v>
      </c>
      <c r="G1220" t="s">
        <v>17</v>
      </c>
    </row>
    <row r="1221" spans="1:7" x14ac:dyDescent="0.3">
      <c r="A1221">
        <v>43306</v>
      </c>
      <c r="B1221" t="s">
        <v>20</v>
      </c>
      <c r="C1221" t="s">
        <v>16</v>
      </c>
      <c r="D1221">
        <v>12</v>
      </c>
      <c r="E1221">
        <v>16</v>
      </c>
      <c r="F1221">
        <v>0.11</v>
      </c>
      <c r="G1221" t="s">
        <v>19</v>
      </c>
    </row>
    <row r="1222" spans="1:7" x14ac:dyDescent="0.3">
      <c r="A1222">
        <v>43306</v>
      </c>
      <c r="B1222" t="s">
        <v>13</v>
      </c>
      <c r="C1222" t="s">
        <v>8</v>
      </c>
      <c r="D1222">
        <v>11</v>
      </c>
      <c r="E1222">
        <v>230</v>
      </c>
      <c r="F1222">
        <v>0.02</v>
      </c>
      <c r="G1222" t="s">
        <v>12</v>
      </c>
    </row>
    <row r="1223" spans="1:7" x14ac:dyDescent="0.3">
      <c r="A1223">
        <v>43306</v>
      </c>
      <c r="B1223" t="s">
        <v>20</v>
      </c>
      <c r="C1223" t="s">
        <v>16</v>
      </c>
      <c r="D1223">
        <v>3</v>
      </c>
      <c r="E1223">
        <v>16</v>
      </c>
      <c r="F1223">
        <v>0.05</v>
      </c>
      <c r="G1223" t="s">
        <v>14</v>
      </c>
    </row>
    <row r="1224" spans="1:7" x14ac:dyDescent="0.3">
      <c r="A1224">
        <v>43307</v>
      </c>
      <c r="B1224" t="s">
        <v>23</v>
      </c>
      <c r="C1224" t="s">
        <v>11</v>
      </c>
      <c r="D1224">
        <v>16</v>
      </c>
      <c r="E1224">
        <v>150</v>
      </c>
      <c r="F1224">
        <v>0.05</v>
      </c>
      <c r="G1224" t="s">
        <v>15</v>
      </c>
    </row>
    <row r="1225" spans="1:7" x14ac:dyDescent="0.3">
      <c r="A1225">
        <v>43307</v>
      </c>
      <c r="B1225" t="s">
        <v>13</v>
      </c>
      <c r="C1225" t="s">
        <v>18</v>
      </c>
      <c r="D1225">
        <v>8</v>
      </c>
      <c r="E1225">
        <v>230</v>
      </c>
      <c r="F1225">
        <v>0.01</v>
      </c>
      <c r="G1225" t="s">
        <v>17</v>
      </c>
    </row>
    <row r="1226" spans="1:7" x14ac:dyDescent="0.3">
      <c r="A1226">
        <v>43307</v>
      </c>
      <c r="B1226" t="s">
        <v>7</v>
      </c>
      <c r="C1226" t="s">
        <v>16</v>
      </c>
      <c r="D1226">
        <v>16</v>
      </c>
      <c r="E1226">
        <v>80</v>
      </c>
      <c r="F1226">
        <v>0.04</v>
      </c>
      <c r="G1226" t="s">
        <v>19</v>
      </c>
    </row>
    <row r="1227" spans="1:7" x14ac:dyDescent="0.3">
      <c r="A1227">
        <v>43307</v>
      </c>
      <c r="B1227" t="s">
        <v>20</v>
      </c>
      <c r="C1227" t="s">
        <v>18</v>
      </c>
      <c r="D1227">
        <v>18</v>
      </c>
      <c r="E1227">
        <v>16</v>
      </c>
      <c r="F1227">
        <v>0.04</v>
      </c>
      <c r="G1227" t="s">
        <v>22</v>
      </c>
    </row>
    <row r="1228" spans="1:7" x14ac:dyDescent="0.3">
      <c r="A1228">
        <v>43307</v>
      </c>
      <c r="B1228" t="s">
        <v>10</v>
      </c>
      <c r="C1228" t="s">
        <v>21</v>
      </c>
      <c r="D1228">
        <v>14</v>
      </c>
      <c r="E1228">
        <v>40</v>
      </c>
      <c r="F1228">
        <v>0.11</v>
      </c>
      <c r="G1228" t="s">
        <v>24</v>
      </c>
    </row>
    <row r="1229" spans="1:7" x14ac:dyDescent="0.3">
      <c r="A1229">
        <v>43307</v>
      </c>
      <c r="B1229" t="s">
        <v>20</v>
      </c>
      <c r="C1229" t="s">
        <v>11</v>
      </c>
      <c r="D1229">
        <v>21</v>
      </c>
      <c r="E1229">
        <v>16</v>
      </c>
      <c r="F1229">
        <v>0.02</v>
      </c>
      <c r="G1229" t="s">
        <v>25</v>
      </c>
    </row>
    <row r="1230" spans="1:7" x14ac:dyDescent="0.3">
      <c r="A1230">
        <v>43307</v>
      </c>
      <c r="B1230" t="s">
        <v>20</v>
      </c>
      <c r="C1230" t="s">
        <v>11</v>
      </c>
      <c r="D1230">
        <v>7</v>
      </c>
      <c r="E1230">
        <v>16</v>
      </c>
      <c r="F1230">
        <v>0.08</v>
      </c>
      <c r="G1230" t="s">
        <v>26</v>
      </c>
    </row>
    <row r="1231" spans="1:7" x14ac:dyDescent="0.3">
      <c r="A1231">
        <v>43307</v>
      </c>
      <c r="B1231" t="s">
        <v>7</v>
      </c>
      <c r="C1231" t="s">
        <v>16</v>
      </c>
      <c r="D1231">
        <v>7</v>
      </c>
      <c r="E1231">
        <v>80</v>
      </c>
      <c r="F1231">
        <v>0.05</v>
      </c>
      <c r="G1231" t="s">
        <v>27</v>
      </c>
    </row>
    <row r="1232" spans="1:7" x14ac:dyDescent="0.3">
      <c r="A1232">
        <v>43307</v>
      </c>
      <c r="B1232" t="s">
        <v>10</v>
      </c>
      <c r="C1232" t="s">
        <v>21</v>
      </c>
      <c r="D1232">
        <v>16</v>
      </c>
      <c r="E1232">
        <v>40</v>
      </c>
      <c r="F1232">
        <v>0.09</v>
      </c>
      <c r="G1232" t="s">
        <v>28</v>
      </c>
    </row>
    <row r="1233" spans="1:7" x14ac:dyDescent="0.3">
      <c r="A1233">
        <v>43307</v>
      </c>
      <c r="B1233" t="s">
        <v>13</v>
      </c>
      <c r="C1233" t="s">
        <v>21</v>
      </c>
      <c r="D1233">
        <v>22</v>
      </c>
      <c r="E1233">
        <v>230</v>
      </c>
      <c r="F1233">
        <v>0.1</v>
      </c>
      <c r="G1233" t="s">
        <v>9</v>
      </c>
    </row>
    <row r="1234" spans="1:7" x14ac:dyDescent="0.3">
      <c r="A1234">
        <v>43307</v>
      </c>
      <c r="B1234" t="s">
        <v>10</v>
      </c>
      <c r="C1234" t="s">
        <v>11</v>
      </c>
      <c r="D1234">
        <v>4</v>
      </c>
      <c r="E1234">
        <v>40</v>
      </c>
      <c r="F1234">
        <v>0.03</v>
      </c>
      <c r="G1234" t="s">
        <v>12</v>
      </c>
    </row>
    <row r="1235" spans="1:7" x14ac:dyDescent="0.3">
      <c r="A1235">
        <v>43307</v>
      </c>
      <c r="B1235" t="s">
        <v>13</v>
      </c>
      <c r="C1235" t="s">
        <v>21</v>
      </c>
      <c r="D1235">
        <v>3</v>
      </c>
      <c r="E1235">
        <v>230</v>
      </c>
      <c r="F1235">
        <v>0.1</v>
      </c>
      <c r="G1235" t="s">
        <v>14</v>
      </c>
    </row>
    <row r="1236" spans="1:7" x14ac:dyDescent="0.3">
      <c r="A1236">
        <v>43307</v>
      </c>
      <c r="B1236" t="s">
        <v>7</v>
      </c>
      <c r="C1236" t="s">
        <v>11</v>
      </c>
      <c r="D1236">
        <v>14</v>
      </c>
      <c r="E1236">
        <v>80</v>
      </c>
      <c r="F1236">
        <v>0.11</v>
      </c>
      <c r="G1236" t="s">
        <v>15</v>
      </c>
    </row>
    <row r="1237" spans="1:7" x14ac:dyDescent="0.3">
      <c r="A1237">
        <v>43308</v>
      </c>
      <c r="B1237" t="s">
        <v>10</v>
      </c>
      <c r="C1237" t="s">
        <v>21</v>
      </c>
      <c r="D1237">
        <v>21</v>
      </c>
      <c r="E1237">
        <v>40</v>
      </c>
      <c r="F1237">
        <v>0.01</v>
      </c>
      <c r="G1237" t="s">
        <v>17</v>
      </c>
    </row>
    <row r="1238" spans="1:7" x14ac:dyDescent="0.3">
      <c r="A1238">
        <v>43308</v>
      </c>
      <c r="B1238" t="s">
        <v>20</v>
      </c>
      <c r="C1238" t="s">
        <v>11</v>
      </c>
      <c r="D1238">
        <v>20</v>
      </c>
      <c r="E1238">
        <v>16</v>
      </c>
      <c r="F1238">
        <v>0.06</v>
      </c>
      <c r="G1238" t="s">
        <v>19</v>
      </c>
    </row>
    <row r="1239" spans="1:7" x14ac:dyDescent="0.3">
      <c r="A1239">
        <v>43308</v>
      </c>
      <c r="B1239" t="s">
        <v>7</v>
      </c>
      <c r="C1239" t="s">
        <v>21</v>
      </c>
      <c r="D1239">
        <v>22</v>
      </c>
      <c r="E1239">
        <v>80</v>
      </c>
      <c r="F1239">
        <v>0.11</v>
      </c>
      <c r="G1239" t="s">
        <v>12</v>
      </c>
    </row>
    <row r="1240" spans="1:7" x14ac:dyDescent="0.3">
      <c r="A1240">
        <v>43308</v>
      </c>
      <c r="B1240" t="s">
        <v>10</v>
      </c>
      <c r="C1240" t="s">
        <v>8</v>
      </c>
      <c r="D1240">
        <v>7</v>
      </c>
      <c r="E1240">
        <v>40</v>
      </c>
      <c r="F1240">
        <v>0.1</v>
      </c>
      <c r="G1240" t="s">
        <v>14</v>
      </c>
    </row>
    <row r="1241" spans="1:7" x14ac:dyDescent="0.3">
      <c r="A1241">
        <v>43308</v>
      </c>
      <c r="B1241" t="s">
        <v>23</v>
      </c>
      <c r="C1241" t="s">
        <v>11</v>
      </c>
      <c r="D1241">
        <v>16</v>
      </c>
      <c r="E1241">
        <v>150</v>
      </c>
      <c r="F1241">
        <v>0.05</v>
      </c>
      <c r="G1241" t="s">
        <v>15</v>
      </c>
    </row>
    <row r="1242" spans="1:7" x14ac:dyDescent="0.3">
      <c r="A1242">
        <v>43308</v>
      </c>
      <c r="B1242" t="s">
        <v>13</v>
      </c>
      <c r="C1242" t="s">
        <v>11</v>
      </c>
      <c r="D1242">
        <v>7</v>
      </c>
      <c r="E1242">
        <v>230</v>
      </c>
      <c r="F1242">
        <v>0.05</v>
      </c>
      <c r="G1242" t="s">
        <v>17</v>
      </c>
    </row>
    <row r="1243" spans="1:7" x14ac:dyDescent="0.3">
      <c r="A1243">
        <v>43308</v>
      </c>
      <c r="B1243" t="s">
        <v>23</v>
      </c>
      <c r="C1243" t="s">
        <v>8</v>
      </c>
      <c r="D1243">
        <v>20</v>
      </c>
      <c r="E1243">
        <v>150</v>
      </c>
      <c r="F1243">
        <v>0.03</v>
      </c>
      <c r="G1243" t="s">
        <v>19</v>
      </c>
    </row>
    <row r="1244" spans="1:7" x14ac:dyDescent="0.3">
      <c r="A1244">
        <v>43308</v>
      </c>
      <c r="B1244" t="s">
        <v>23</v>
      </c>
      <c r="C1244" t="s">
        <v>11</v>
      </c>
      <c r="D1244">
        <v>16</v>
      </c>
      <c r="E1244">
        <v>150</v>
      </c>
      <c r="F1244">
        <v>0.03</v>
      </c>
      <c r="G1244" t="s">
        <v>22</v>
      </c>
    </row>
    <row r="1245" spans="1:7" x14ac:dyDescent="0.3">
      <c r="A1245">
        <v>43308</v>
      </c>
      <c r="B1245" t="s">
        <v>20</v>
      </c>
      <c r="C1245" t="s">
        <v>18</v>
      </c>
      <c r="D1245">
        <v>10</v>
      </c>
      <c r="E1245">
        <v>16</v>
      </c>
      <c r="F1245">
        <v>0.04</v>
      </c>
      <c r="G1245" t="s">
        <v>24</v>
      </c>
    </row>
    <row r="1246" spans="1:7" x14ac:dyDescent="0.3">
      <c r="A1246">
        <v>43308</v>
      </c>
      <c r="B1246" t="s">
        <v>7</v>
      </c>
      <c r="C1246" t="s">
        <v>21</v>
      </c>
      <c r="D1246">
        <v>6</v>
      </c>
      <c r="E1246">
        <v>80</v>
      </c>
      <c r="F1246">
        <v>0.09</v>
      </c>
      <c r="G1246" t="s">
        <v>25</v>
      </c>
    </row>
    <row r="1247" spans="1:7" x14ac:dyDescent="0.3">
      <c r="A1247">
        <v>43308</v>
      </c>
      <c r="B1247" t="s">
        <v>7</v>
      </c>
      <c r="C1247" t="s">
        <v>8</v>
      </c>
      <c r="D1247">
        <v>17</v>
      </c>
      <c r="E1247">
        <v>80</v>
      </c>
      <c r="F1247">
        <v>0.09</v>
      </c>
      <c r="G1247" t="s">
        <v>26</v>
      </c>
    </row>
    <row r="1248" spans="1:7" x14ac:dyDescent="0.3">
      <c r="A1248">
        <v>43308</v>
      </c>
      <c r="B1248" t="s">
        <v>10</v>
      </c>
      <c r="C1248" t="s">
        <v>8</v>
      </c>
      <c r="D1248">
        <v>19</v>
      </c>
      <c r="E1248">
        <v>40</v>
      </c>
      <c r="F1248">
        <v>0.04</v>
      </c>
      <c r="G1248" t="s">
        <v>27</v>
      </c>
    </row>
    <row r="1249" spans="1:7" x14ac:dyDescent="0.3">
      <c r="A1249">
        <v>43308</v>
      </c>
      <c r="B1249" t="s">
        <v>10</v>
      </c>
      <c r="C1249" t="s">
        <v>21</v>
      </c>
      <c r="D1249">
        <v>16</v>
      </c>
      <c r="E1249">
        <v>40</v>
      </c>
      <c r="F1249">
        <v>0.09</v>
      </c>
      <c r="G1249" t="s">
        <v>28</v>
      </c>
    </row>
    <row r="1250" spans="1:7" x14ac:dyDescent="0.3">
      <c r="A1250">
        <v>43308</v>
      </c>
      <c r="B1250" t="s">
        <v>20</v>
      </c>
      <c r="C1250" t="s">
        <v>8</v>
      </c>
      <c r="D1250">
        <v>4</v>
      </c>
      <c r="E1250">
        <v>16</v>
      </c>
      <c r="F1250">
        <v>0.12</v>
      </c>
      <c r="G1250" t="s">
        <v>9</v>
      </c>
    </row>
    <row r="1251" spans="1:7" x14ac:dyDescent="0.3">
      <c r="A1251">
        <v>43308</v>
      </c>
      <c r="B1251" t="s">
        <v>23</v>
      </c>
      <c r="C1251" t="s">
        <v>18</v>
      </c>
      <c r="D1251">
        <v>9</v>
      </c>
      <c r="E1251">
        <v>150</v>
      </c>
      <c r="F1251">
        <v>0.02</v>
      </c>
      <c r="G1251" t="s">
        <v>12</v>
      </c>
    </row>
    <row r="1252" spans="1:7" x14ac:dyDescent="0.3">
      <c r="A1252">
        <v>43308</v>
      </c>
      <c r="B1252" t="s">
        <v>20</v>
      </c>
      <c r="C1252" t="s">
        <v>8</v>
      </c>
      <c r="D1252">
        <v>11</v>
      </c>
      <c r="E1252">
        <v>16</v>
      </c>
      <c r="F1252">
        <v>0.09</v>
      </c>
      <c r="G1252" t="s">
        <v>14</v>
      </c>
    </row>
    <row r="1253" spans="1:7" x14ac:dyDescent="0.3">
      <c r="A1253">
        <v>43308</v>
      </c>
      <c r="B1253" t="s">
        <v>7</v>
      </c>
      <c r="C1253" t="s">
        <v>11</v>
      </c>
      <c r="D1253">
        <v>17</v>
      </c>
      <c r="E1253">
        <v>80</v>
      </c>
      <c r="F1253">
        <v>0.03</v>
      </c>
      <c r="G1253" t="s">
        <v>15</v>
      </c>
    </row>
    <row r="1254" spans="1:7" x14ac:dyDescent="0.3">
      <c r="A1254">
        <v>43309</v>
      </c>
      <c r="B1254" t="s">
        <v>23</v>
      </c>
      <c r="C1254" t="s">
        <v>8</v>
      </c>
      <c r="D1254">
        <v>3</v>
      </c>
      <c r="E1254">
        <v>150</v>
      </c>
      <c r="F1254">
        <v>0.03</v>
      </c>
      <c r="G1254" t="s">
        <v>17</v>
      </c>
    </row>
    <row r="1255" spans="1:7" x14ac:dyDescent="0.3">
      <c r="A1255">
        <v>43309</v>
      </c>
      <c r="B1255" t="s">
        <v>13</v>
      </c>
      <c r="C1255" t="s">
        <v>18</v>
      </c>
      <c r="D1255">
        <v>2</v>
      </c>
      <c r="E1255">
        <v>230</v>
      </c>
      <c r="F1255">
        <v>0.08</v>
      </c>
      <c r="G1255" t="s">
        <v>19</v>
      </c>
    </row>
    <row r="1256" spans="1:7" x14ac:dyDescent="0.3">
      <c r="A1256">
        <v>43309</v>
      </c>
      <c r="B1256" t="s">
        <v>13</v>
      </c>
      <c r="C1256" t="s">
        <v>18</v>
      </c>
      <c r="D1256">
        <v>17</v>
      </c>
      <c r="E1256">
        <v>230</v>
      </c>
      <c r="F1256">
        <v>0.12</v>
      </c>
      <c r="G1256" t="s">
        <v>12</v>
      </c>
    </row>
    <row r="1257" spans="1:7" x14ac:dyDescent="0.3">
      <c r="A1257">
        <v>43309</v>
      </c>
      <c r="B1257" t="s">
        <v>23</v>
      </c>
      <c r="C1257" t="s">
        <v>11</v>
      </c>
      <c r="D1257">
        <v>2</v>
      </c>
      <c r="E1257">
        <v>150</v>
      </c>
      <c r="F1257">
        <v>0.09</v>
      </c>
      <c r="G1257" t="s">
        <v>14</v>
      </c>
    </row>
    <row r="1258" spans="1:7" x14ac:dyDescent="0.3">
      <c r="A1258">
        <v>43309</v>
      </c>
      <c r="B1258" t="s">
        <v>10</v>
      </c>
      <c r="C1258" t="s">
        <v>18</v>
      </c>
      <c r="D1258">
        <v>18</v>
      </c>
      <c r="E1258">
        <v>40</v>
      </c>
      <c r="F1258">
        <v>0.06</v>
      </c>
      <c r="G1258" t="s">
        <v>15</v>
      </c>
    </row>
    <row r="1259" spans="1:7" x14ac:dyDescent="0.3">
      <c r="A1259">
        <v>43309</v>
      </c>
      <c r="B1259" t="s">
        <v>23</v>
      </c>
      <c r="C1259" t="s">
        <v>16</v>
      </c>
      <c r="D1259">
        <v>18</v>
      </c>
      <c r="E1259">
        <v>150</v>
      </c>
      <c r="F1259">
        <v>0.06</v>
      </c>
      <c r="G1259" t="s">
        <v>17</v>
      </c>
    </row>
    <row r="1260" spans="1:7" x14ac:dyDescent="0.3">
      <c r="A1260">
        <v>43309</v>
      </c>
      <c r="B1260" t="s">
        <v>10</v>
      </c>
      <c r="C1260" t="s">
        <v>11</v>
      </c>
      <c r="D1260">
        <v>12</v>
      </c>
      <c r="E1260">
        <v>40</v>
      </c>
      <c r="F1260">
        <v>0.1</v>
      </c>
      <c r="G1260" t="s">
        <v>19</v>
      </c>
    </row>
    <row r="1261" spans="1:7" x14ac:dyDescent="0.3">
      <c r="A1261">
        <v>43309</v>
      </c>
      <c r="B1261" t="s">
        <v>7</v>
      </c>
      <c r="C1261" t="s">
        <v>8</v>
      </c>
      <c r="D1261">
        <v>21</v>
      </c>
      <c r="E1261">
        <v>80</v>
      </c>
      <c r="F1261">
        <v>0.04</v>
      </c>
      <c r="G1261" t="s">
        <v>22</v>
      </c>
    </row>
    <row r="1262" spans="1:7" x14ac:dyDescent="0.3">
      <c r="A1262">
        <v>43309</v>
      </c>
      <c r="B1262" t="s">
        <v>10</v>
      </c>
      <c r="C1262" t="s">
        <v>21</v>
      </c>
      <c r="D1262">
        <v>3</v>
      </c>
      <c r="E1262">
        <v>40</v>
      </c>
      <c r="F1262">
        <v>0.03</v>
      </c>
      <c r="G1262" t="s">
        <v>24</v>
      </c>
    </row>
    <row r="1263" spans="1:7" x14ac:dyDescent="0.3">
      <c r="A1263">
        <v>43309</v>
      </c>
      <c r="B1263" t="s">
        <v>7</v>
      </c>
      <c r="C1263" t="s">
        <v>21</v>
      </c>
      <c r="D1263">
        <v>22</v>
      </c>
      <c r="E1263">
        <v>80</v>
      </c>
      <c r="F1263">
        <v>0.1</v>
      </c>
      <c r="G1263" t="s">
        <v>25</v>
      </c>
    </row>
    <row r="1264" spans="1:7" x14ac:dyDescent="0.3">
      <c r="A1264">
        <v>43309</v>
      </c>
      <c r="B1264" t="s">
        <v>10</v>
      </c>
      <c r="C1264" t="s">
        <v>21</v>
      </c>
      <c r="D1264">
        <v>16</v>
      </c>
      <c r="E1264">
        <v>40</v>
      </c>
      <c r="F1264">
        <v>0.11</v>
      </c>
      <c r="G1264" t="s">
        <v>26</v>
      </c>
    </row>
    <row r="1265" spans="1:7" x14ac:dyDescent="0.3">
      <c r="A1265">
        <v>43309</v>
      </c>
      <c r="B1265" t="s">
        <v>20</v>
      </c>
      <c r="C1265" t="s">
        <v>8</v>
      </c>
      <c r="D1265">
        <v>11</v>
      </c>
      <c r="E1265">
        <v>16</v>
      </c>
      <c r="F1265">
        <v>0.09</v>
      </c>
      <c r="G1265" t="s">
        <v>27</v>
      </c>
    </row>
    <row r="1266" spans="1:7" x14ac:dyDescent="0.3">
      <c r="A1266">
        <v>43310</v>
      </c>
      <c r="B1266" t="s">
        <v>7</v>
      </c>
      <c r="C1266" t="s">
        <v>16</v>
      </c>
      <c r="D1266">
        <v>10</v>
      </c>
      <c r="E1266">
        <v>80</v>
      </c>
      <c r="F1266">
        <v>0.08</v>
      </c>
      <c r="G1266" t="s">
        <v>28</v>
      </c>
    </row>
    <row r="1267" spans="1:7" x14ac:dyDescent="0.3">
      <c r="A1267">
        <v>43310</v>
      </c>
      <c r="B1267" t="s">
        <v>20</v>
      </c>
      <c r="C1267" t="s">
        <v>16</v>
      </c>
      <c r="D1267">
        <v>12</v>
      </c>
      <c r="E1267">
        <v>16</v>
      </c>
      <c r="F1267">
        <v>0.03</v>
      </c>
      <c r="G1267" t="s">
        <v>9</v>
      </c>
    </row>
    <row r="1268" spans="1:7" x14ac:dyDescent="0.3">
      <c r="A1268">
        <v>43310</v>
      </c>
      <c r="B1268" t="s">
        <v>23</v>
      </c>
      <c r="C1268" t="s">
        <v>8</v>
      </c>
      <c r="D1268">
        <v>8</v>
      </c>
      <c r="E1268">
        <v>150</v>
      </c>
      <c r="F1268">
        <v>0.09</v>
      </c>
      <c r="G1268" t="s">
        <v>12</v>
      </c>
    </row>
    <row r="1269" spans="1:7" x14ac:dyDescent="0.3">
      <c r="A1269">
        <v>43310</v>
      </c>
      <c r="B1269" t="s">
        <v>10</v>
      </c>
      <c r="C1269" t="s">
        <v>21</v>
      </c>
      <c r="D1269">
        <v>10</v>
      </c>
      <c r="E1269">
        <v>40</v>
      </c>
      <c r="F1269">
        <v>0.03</v>
      </c>
      <c r="G1269" t="s">
        <v>14</v>
      </c>
    </row>
    <row r="1270" spans="1:7" x14ac:dyDescent="0.3">
      <c r="A1270">
        <v>43310</v>
      </c>
      <c r="B1270" t="s">
        <v>23</v>
      </c>
      <c r="C1270" t="s">
        <v>8</v>
      </c>
      <c r="D1270">
        <v>7</v>
      </c>
      <c r="E1270">
        <v>150</v>
      </c>
      <c r="F1270">
        <v>0.02</v>
      </c>
      <c r="G1270" t="s">
        <v>15</v>
      </c>
    </row>
    <row r="1271" spans="1:7" x14ac:dyDescent="0.3">
      <c r="A1271">
        <v>43310</v>
      </c>
      <c r="B1271" t="s">
        <v>20</v>
      </c>
      <c r="C1271" t="s">
        <v>16</v>
      </c>
      <c r="D1271">
        <v>6</v>
      </c>
      <c r="E1271">
        <v>16</v>
      </c>
      <c r="F1271">
        <v>0.01</v>
      </c>
      <c r="G1271" t="s">
        <v>17</v>
      </c>
    </row>
    <row r="1272" spans="1:7" x14ac:dyDescent="0.3">
      <c r="A1272">
        <v>43310</v>
      </c>
      <c r="B1272" t="s">
        <v>7</v>
      </c>
      <c r="C1272" t="s">
        <v>18</v>
      </c>
      <c r="D1272">
        <v>15</v>
      </c>
      <c r="E1272">
        <v>80</v>
      </c>
      <c r="F1272">
        <v>0.08</v>
      </c>
      <c r="G1272" t="s">
        <v>19</v>
      </c>
    </row>
    <row r="1273" spans="1:7" x14ac:dyDescent="0.3">
      <c r="A1273">
        <v>43310</v>
      </c>
      <c r="B1273" t="s">
        <v>20</v>
      </c>
      <c r="C1273" t="s">
        <v>21</v>
      </c>
      <c r="D1273">
        <v>13</v>
      </c>
      <c r="E1273">
        <v>16</v>
      </c>
      <c r="F1273">
        <v>7.0000000000000007E-2</v>
      </c>
      <c r="G1273" t="s">
        <v>12</v>
      </c>
    </row>
    <row r="1274" spans="1:7" x14ac:dyDescent="0.3">
      <c r="A1274">
        <v>43310</v>
      </c>
      <c r="B1274" t="s">
        <v>13</v>
      </c>
      <c r="C1274" t="s">
        <v>18</v>
      </c>
      <c r="D1274">
        <v>19</v>
      </c>
      <c r="E1274">
        <v>230</v>
      </c>
      <c r="F1274">
        <v>0.06</v>
      </c>
      <c r="G1274" t="s">
        <v>14</v>
      </c>
    </row>
    <row r="1275" spans="1:7" x14ac:dyDescent="0.3">
      <c r="A1275">
        <v>43310</v>
      </c>
      <c r="B1275" t="s">
        <v>7</v>
      </c>
      <c r="C1275" t="s">
        <v>18</v>
      </c>
      <c r="D1275">
        <v>21</v>
      </c>
      <c r="E1275">
        <v>80</v>
      </c>
      <c r="F1275">
        <v>0.05</v>
      </c>
      <c r="G1275" t="s">
        <v>15</v>
      </c>
    </row>
    <row r="1276" spans="1:7" x14ac:dyDescent="0.3">
      <c r="A1276">
        <v>43310</v>
      </c>
      <c r="B1276" t="s">
        <v>7</v>
      </c>
      <c r="C1276" t="s">
        <v>11</v>
      </c>
      <c r="D1276">
        <v>5</v>
      </c>
      <c r="E1276">
        <v>80</v>
      </c>
      <c r="F1276">
        <v>7.0000000000000007E-2</v>
      </c>
      <c r="G1276" t="s">
        <v>17</v>
      </c>
    </row>
    <row r="1277" spans="1:7" x14ac:dyDescent="0.3">
      <c r="A1277">
        <v>43310</v>
      </c>
      <c r="B1277" t="s">
        <v>20</v>
      </c>
      <c r="C1277" t="s">
        <v>16</v>
      </c>
      <c r="D1277">
        <v>8</v>
      </c>
      <c r="E1277">
        <v>16</v>
      </c>
      <c r="F1277">
        <v>0.03</v>
      </c>
      <c r="G1277" t="s">
        <v>19</v>
      </c>
    </row>
    <row r="1278" spans="1:7" x14ac:dyDescent="0.3">
      <c r="A1278">
        <v>43310</v>
      </c>
      <c r="B1278" t="s">
        <v>20</v>
      </c>
      <c r="C1278" t="s">
        <v>16</v>
      </c>
      <c r="D1278">
        <v>12</v>
      </c>
      <c r="E1278">
        <v>16</v>
      </c>
      <c r="F1278">
        <v>0.11</v>
      </c>
      <c r="G1278" t="s">
        <v>22</v>
      </c>
    </row>
    <row r="1279" spans="1:7" x14ac:dyDescent="0.3">
      <c r="A1279">
        <v>43310</v>
      </c>
      <c r="B1279" t="s">
        <v>7</v>
      </c>
      <c r="C1279" t="s">
        <v>18</v>
      </c>
      <c r="D1279">
        <v>22</v>
      </c>
      <c r="E1279">
        <v>80</v>
      </c>
      <c r="F1279">
        <v>0.03</v>
      </c>
      <c r="G1279" t="s">
        <v>24</v>
      </c>
    </row>
    <row r="1280" spans="1:7" x14ac:dyDescent="0.3">
      <c r="A1280">
        <v>43310</v>
      </c>
      <c r="B1280" t="s">
        <v>10</v>
      </c>
      <c r="C1280" t="s">
        <v>8</v>
      </c>
      <c r="D1280">
        <v>5</v>
      </c>
      <c r="E1280">
        <v>40</v>
      </c>
      <c r="F1280">
        <v>0.09</v>
      </c>
      <c r="G1280" t="s">
        <v>25</v>
      </c>
    </row>
    <row r="1281" spans="1:7" x14ac:dyDescent="0.3">
      <c r="A1281">
        <v>43311</v>
      </c>
      <c r="B1281" t="s">
        <v>23</v>
      </c>
      <c r="C1281" t="s">
        <v>11</v>
      </c>
      <c r="D1281">
        <v>23</v>
      </c>
      <c r="E1281">
        <v>150</v>
      </c>
      <c r="F1281">
        <v>0.11</v>
      </c>
      <c r="G1281" t="s">
        <v>26</v>
      </c>
    </row>
    <row r="1282" spans="1:7" x14ac:dyDescent="0.3">
      <c r="A1282">
        <v>43311</v>
      </c>
      <c r="B1282" t="s">
        <v>7</v>
      </c>
      <c r="C1282" t="s">
        <v>8</v>
      </c>
      <c r="D1282">
        <v>16</v>
      </c>
      <c r="E1282">
        <v>80</v>
      </c>
      <c r="F1282">
        <v>0.03</v>
      </c>
      <c r="G1282" t="s">
        <v>27</v>
      </c>
    </row>
    <row r="1283" spans="1:7" x14ac:dyDescent="0.3">
      <c r="A1283">
        <v>43311</v>
      </c>
      <c r="B1283" t="s">
        <v>23</v>
      </c>
      <c r="C1283" t="s">
        <v>21</v>
      </c>
      <c r="D1283">
        <v>15</v>
      </c>
      <c r="E1283">
        <v>150</v>
      </c>
      <c r="F1283">
        <v>7.0000000000000007E-2</v>
      </c>
      <c r="G1283" t="s">
        <v>28</v>
      </c>
    </row>
    <row r="1284" spans="1:7" x14ac:dyDescent="0.3">
      <c r="A1284">
        <v>43311</v>
      </c>
      <c r="B1284" t="s">
        <v>10</v>
      </c>
      <c r="C1284" t="s">
        <v>8</v>
      </c>
      <c r="D1284">
        <v>20</v>
      </c>
      <c r="E1284">
        <v>40</v>
      </c>
      <c r="F1284">
        <v>0.04</v>
      </c>
      <c r="G1284" t="s">
        <v>9</v>
      </c>
    </row>
    <row r="1285" spans="1:7" x14ac:dyDescent="0.3">
      <c r="A1285">
        <v>43311</v>
      </c>
      <c r="B1285" t="s">
        <v>13</v>
      </c>
      <c r="C1285" t="s">
        <v>16</v>
      </c>
      <c r="D1285">
        <v>10</v>
      </c>
      <c r="E1285">
        <v>230</v>
      </c>
      <c r="F1285">
        <v>0.02</v>
      </c>
      <c r="G1285" t="s">
        <v>12</v>
      </c>
    </row>
    <row r="1286" spans="1:7" x14ac:dyDescent="0.3">
      <c r="A1286">
        <v>43311</v>
      </c>
      <c r="B1286" t="s">
        <v>7</v>
      </c>
      <c r="C1286" t="s">
        <v>11</v>
      </c>
      <c r="D1286">
        <v>9</v>
      </c>
      <c r="E1286">
        <v>80</v>
      </c>
      <c r="F1286">
        <v>0.03</v>
      </c>
      <c r="G1286" t="s">
        <v>14</v>
      </c>
    </row>
    <row r="1287" spans="1:7" x14ac:dyDescent="0.3">
      <c r="A1287">
        <v>43311</v>
      </c>
      <c r="B1287" t="s">
        <v>13</v>
      </c>
      <c r="C1287" t="s">
        <v>8</v>
      </c>
      <c r="D1287">
        <v>16</v>
      </c>
      <c r="E1287">
        <v>230</v>
      </c>
      <c r="F1287">
        <v>7.0000000000000007E-2</v>
      </c>
      <c r="G1287" t="s">
        <v>15</v>
      </c>
    </row>
    <row r="1288" spans="1:7" x14ac:dyDescent="0.3">
      <c r="A1288">
        <v>43311</v>
      </c>
      <c r="B1288" t="s">
        <v>7</v>
      </c>
      <c r="C1288" t="s">
        <v>11</v>
      </c>
      <c r="D1288">
        <v>21</v>
      </c>
      <c r="E1288">
        <v>80</v>
      </c>
      <c r="F1288">
        <v>0.04</v>
      </c>
      <c r="G1288" t="s">
        <v>17</v>
      </c>
    </row>
    <row r="1289" spans="1:7" x14ac:dyDescent="0.3">
      <c r="A1289">
        <v>43311</v>
      </c>
      <c r="B1289" t="s">
        <v>7</v>
      </c>
      <c r="C1289" t="s">
        <v>11</v>
      </c>
      <c r="D1289">
        <v>9</v>
      </c>
      <c r="E1289">
        <v>80</v>
      </c>
      <c r="F1289">
        <v>0.03</v>
      </c>
      <c r="G1289" t="s">
        <v>19</v>
      </c>
    </row>
    <row r="1290" spans="1:7" x14ac:dyDescent="0.3">
      <c r="A1290">
        <v>43311</v>
      </c>
      <c r="B1290" t="s">
        <v>10</v>
      </c>
      <c r="C1290" t="s">
        <v>11</v>
      </c>
      <c r="D1290">
        <v>4</v>
      </c>
      <c r="E1290">
        <v>40</v>
      </c>
      <c r="F1290">
        <v>0.12</v>
      </c>
      <c r="G1290" t="s">
        <v>12</v>
      </c>
    </row>
    <row r="1291" spans="1:7" x14ac:dyDescent="0.3">
      <c r="A1291">
        <v>43311</v>
      </c>
      <c r="B1291" t="s">
        <v>13</v>
      </c>
      <c r="C1291" t="s">
        <v>16</v>
      </c>
      <c r="D1291">
        <v>5</v>
      </c>
      <c r="E1291">
        <v>230</v>
      </c>
      <c r="F1291">
        <v>0.01</v>
      </c>
      <c r="G1291" t="s">
        <v>14</v>
      </c>
    </row>
    <row r="1292" spans="1:7" x14ac:dyDescent="0.3">
      <c r="A1292">
        <v>43311</v>
      </c>
      <c r="B1292" t="s">
        <v>20</v>
      </c>
      <c r="C1292" t="s">
        <v>8</v>
      </c>
      <c r="D1292">
        <v>18</v>
      </c>
      <c r="E1292">
        <v>16</v>
      </c>
      <c r="F1292">
        <v>0.05</v>
      </c>
      <c r="G1292" t="s">
        <v>15</v>
      </c>
    </row>
    <row r="1293" spans="1:7" x14ac:dyDescent="0.3">
      <c r="A1293">
        <v>43312</v>
      </c>
      <c r="B1293" t="s">
        <v>7</v>
      </c>
      <c r="C1293" t="s">
        <v>16</v>
      </c>
      <c r="D1293">
        <v>6</v>
      </c>
      <c r="E1293">
        <v>80</v>
      </c>
      <c r="F1293">
        <v>0.01</v>
      </c>
      <c r="G1293" t="s">
        <v>17</v>
      </c>
    </row>
    <row r="1294" spans="1:7" x14ac:dyDescent="0.3">
      <c r="A1294">
        <v>43312</v>
      </c>
      <c r="B1294" t="s">
        <v>23</v>
      </c>
      <c r="C1294" t="s">
        <v>21</v>
      </c>
      <c r="D1294">
        <v>4</v>
      </c>
      <c r="E1294">
        <v>150</v>
      </c>
      <c r="F1294">
        <v>0.05</v>
      </c>
      <c r="G1294" t="s">
        <v>19</v>
      </c>
    </row>
    <row r="1295" spans="1:7" x14ac:dyDescent="0.3">
      <c r="A1295">
        <v>43312</v>
      </c>
      <c r="B1295" t="s">
        <v>13</v>
      </c>
      <c r="C1295" t="s">
        <v>21</v>
      </c>
      <c r="D1295">
        <v>21</v>
      </c>
      <c r="E1295">
        <v>230</v>
      </c>
      <c r="F1295">
        <v>0.05</v>
      </c>
      <c r="G1295" t="s">
        <v>22</v>
      </c>
    </row>
    <row r="1296" spans="1:7" x14ac:dyDescent="0.3">
      <c r="A1296">
        <v>43312</v>
      </c>
      <c r="B1296" t="s">
        <v>23</v>
      </c>
      <c r="C1296" t="s">
        <v>8</v>
      </c>
      <c r="D1296">
        <v>4</v>
      </c>
      <c r="E1296">
        <v>150</v>
      </c>
      <c r="F1296">
        <v>0.06</v>
      </c>
      <c r="G1296" t="s">
        <v>24</v>
      </c>
    </row>
    <row r="1297" spans="1:7" x14ac:dyDescent="0.3">
      <c r="A1297">
        <v>43312</v>
      </c>
      <c r="B1297" t="s">
        <v>7</v>
      </c>
      <c r="C1297" t="s">
        <v>11</v>
      </c>
      <c r="D1297">
        <v>2</v>
      </c>
      <c r="E1297">
        <v>80</v>
      </c>
      <c r="F1297">
        <v>0.04</v>
      </c>
      <c r="G1297" t="s">
        <v>25</v>
      </c>
    </row>
    <row r="1298" spans="1:7" x14ac:dyDescent="0.3">
      <c r="A1298">
        <v>43312</v>
      </c>
      <c r="B1298" t="s">
        <v>20</v>
      </c>
      <c r="C1298" t="s">
        <v>11</v>
      </c>
      <c r="D1298">
        <v>5</v>
      </c>
      <c r="E1298">
        <v>16</v>
      </c>
      <c r="F1298">
        <v>0.11</v>
      </c>
      <c r="G1298" t="s">
        <v>26</v>
      </c>
    </row>
    <row r="1299" spans="1:7" x14ac:dyDescent="0.3">
      <c r="A1299">
        <v>43312</v>
      </c>
      <c r="B1299" t="s">
        <v>23</v>
      </c>
      <c r="C1299" t="s">
        <v>21</v>
      </c>
      <c r="D1299">
        <v>23</v>
      </c>
      <c r="E1299">
        <v>150</v>
      </c>
      <c r="F1299">
        <v>0.08</v>
      </c>
      <c r="G1299" t="s">
        <v>27</v>
      </c>
    </row>
    <row r="1300" spans="1:7" x14ac:dyDescent="0.3">
      <c r="A1300">
        <v>43312</v>
      </c>
      <c r="B1300" t="s">
        <v>7</v>
      </c>
      <c r="C1300" t="s">
        <v>11</v>
      </c>
      <c r="D1300">
        <v>3</v>
      </c>
      <c r="E1300">
        <v>80</v>
      </c>
      <c r="F1300">
        <v>0.02</v>
      </c>
      <c r="G1300" t="s">
        <v>28</v>
      </c>
    </row>
    <row r="1301" spans="1:7" x14ac:dyDescent="0.3">
      <c r="A1301">
        <v>43312</v>
      </c>
      <c r="B1301" t="s">
        <v>13</v>
      </c>
      <c r="C1301" t="s">
        <v>21</v>
      </c>
      <c r="D1301">
        <v>17</v>
      </c>
      <c r="E1301">
        <v>230</v>
      </c>
      <c r="F1301">
        <v>0.11</v>
      </c>
      <c r="G1301" t="s">
        <v>9</v>
      </c>
    </row>
    <row r="1302" spans="1:7" x14ac:dyDescent="0.3">
      <c r="A1302">
        <v>43312</v>
      </c>
      <c r="B1302" t="s">
        <v>10</v>
      </c>
      <c r="C1302" t="s">
        <v>16</v>
      </c>
      <c r="D1302">
        <v>11</v>
      </c>
      <c r="E1302">
        <v>40</v>
      </c>
      <c r="F1302">
        <v>0.05</v>
      </c>
      <c r="G1302" t="s">
        <v>12</v>
      </c>
    </row>
    <row r="1303" spans="1:7" x14ac:dyDescent="0.3">
      <c r="A1303">
        <v>43312</v>
      </c>
      <c r="B1303" t="s">
        <v>13</v>
      </c>
      <c r="C1303" t="s">
        <v>8</v>
      </c>
      <c r="D1303">
        <v>7</v>
      </c>
      <c r="E1303">
        <v>230</v>
      </c>
      <c r="F1303">
        <v>0.02</v>
      </c>
      <c r="G1303" t="s">
        <v>14</v>
      </c>
    </row>
    <row r="1304" spans="1:7" x14ac:dyDescent="0.3">
      <c r="A1304">
        <v>43312</v>
      </c>
      <c r="B1304" t="s">
        <v>10</v>
      </c>
      <c r="C1304" t="s">
        <v>16</v>
      </c>
      <c r="D1304">
        <v>13</v>
      </c>
      <c r="E1304">
        <v>40</v>
      </c>
      <c r="F1304">
        <v>0.02</v>
      </c>
      <c r="G1304"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F3937-D69D-4917-8BE7-7D2CFE3FB43B}">
  <dimension ref="A1:I1304"/>
  <sheetViews>
    <sheetView topLeftCell="A1278" workbookViewId="0">
      <selection activeCell="L1289" sqref="L1289"/>
    </sheetView>
  </sheetViews>
  <sheetFormatPr defaultRowHeight="14.4" x14ac:dyDescent="0.3"/>
  <cols>
    <col min="1" max="1" width="10.33203125" bestFit="1" customWidth="1"/>
    <col min="2" max="2" width="10.77734375" bestFit="1" customWidth="1"/>
    <col min="3" max="3" width="11.33203125" bestFit="1" customWidth="1"/>
    <col min="4" max="4" width="10.33203125" bestFit="1" customWidth="1"/>
    <col min="5" max="5" width="7.5546875" bestFit="1" customWidth="1"/>
    <col min="6" max="6" width="13.6640625" bestFit="1" customWidth="1"/>
    <col min="7" max="8" width="12" bestFit="1" customWidth="1"/>
    <col min="9" max="9" width="13.44140625" customWidth="1"/>
  </cols>
  <sheetData>
    <row r="1" spans="1:9" x14ac:dyDescent="0.3">
      <c r="A1" t="s">
        <v>0</v>
      </c>
      <c r="B1" t="s">
        <v>1</v>
      </c>
      <c r="C1" t="s">
        <v>2</v>
      </c>
      <c r="D1" t="s">
        <v>3</v>
      </c>
      <c r="E1" t="s">
        <v>4</v>
      </c>
      <c r="F1" t="s">
        <v>5</v>
      </c>
      <c r="G1" t="s">
        <v>6</v>
      </c>
      <c r="H1" t="s">
        <v>29</v>
      </c>
      <c r="I1" t="s">
        <v>46</v>
      </c>
    </row>
    <row r="2" spans="1:9" x14ac:dyDescent="0.3">
      <c r="A2" s="1">
        <v>43282</v>
      </c>
      <c r="B2" t="s">
        <v>7</v>
      </c>
      <c r="C2" t="s">
        <v>8</v>
      </c>
      <c r="D2">
        <v>6</v>
      </c>
      <c r="E2">
        <v>80</v>
      </c>
      <c r="F2">
        <v>0.01</v>
      </c>
      <c r="G2" t="s">
        <v>9</v>
      </c>
      <c r="H2">
        <v>480</v>
      </c>
      <c r="I2">
        <f>(Table1_1[[#This Row],[Total sales]]*Table1_1[[#This Row],[Commission]])+Table1_1[[#This Row],[Total sales]]</f>
        <v>484.8</v>
      </c>
    </row>
    <row r="3" spans="1:9" x14ac:dyDescent="0.3">
      <c r="A3" s="1">
        <v>43282</v>
      </c>
      <c r="B3" t="s">
        <v>10</v>
      </c>
      <c r="C3" t="s">
        <v>11</v>
      </c>
      <c r="D3">
        <v>20</v>
      </c>
      <c r="E3">
        <v>10</v>
      </c>
      <c r="F3">
        <v>0.05</v>
      </c>
      <c r="G3" t="s">
        <v>12</v>
      </c>
      <c r="H3">
        <v>200</v>
      </c>
      <c r="I3">
        <f>(Table1_1[[#This Row],[Total sales]]*Table1_1[[#This Row],[Commission]])+Table1_1[[#This Row],[Total sales]]</f>
        <v>210</v>
      </c>
    </row>
    <row r="4" spans="1:9" x14ac:dyDescent="0.3">
      <c r="A4" s="1">
        <v>43282</v>
      </c>
      <c r="B4" t="s">
        <v>13</v>
      </c>
      <c r="C4" t="s">
        <v>11</v>
      </c>
      <c r="D4">
        <v>22</v>
      </c>
      <c r="E4">
        <v>230</v>
      </c>
      <c r="F4">
        <v>0.11</v>
      </c>
      <c r="G4" t="s">
        <v>14</v>
      </c>
      <c r="H4">
        <v>5060</v>
      </c>
      <c r="I4">
        <f>(Table1_1[[#This Row],[Total sales]]*Table1_1[[#This Row],[Commission]])+Table1_1[[#This Row],[Total sales]]</f>
        <v>5616.6</v>
      </c>
    </row>
    <row r="5" spans="1:9" x14ac:dyDescent="0.3">
      <c r="A5" s="1">
        <v>43282</v>
      </c>
      <c r="B5" t="s">
        <v>13</v>
      </c>
      <c r="C5" t="s">
        <v>8</v>
      </c>
      <c r="D5">
        <v>8</v>
      </c>
      <c r="E5">
        <v>230</v>
      </c>
      <c r="F5">
        <v>0.03</v>
      </c>
      <c r="G5" t="s">
        <v>15</v>
      </c>
      <c r="H5">
        <v>1840</v>
      </c>
      <c r="I5">
        <f>(Table1_1[[#This Row],[Total sales]]*Table1_1[[#This Row],[Commission]])+Table1_1[[#This Row],[Total sales]]</f>
        <v>1895.2</v>
      </c>
    </row>
    <row r="6" spans="1:9" x14ac:dyDescent="0.3">
      <c r="A6" s="1">
        <v>43282</v>
      </c>
      <c r="B6" t="s">
        <v>13</v>
      </c>
      <c r="C6" t="s">
        <v>16</v>
      </c>
      <c r="D6">
        <v>12</v>
      </c>
      <c r="E6">
        <v>230</v>
      </c>
      <c r="F6">
        <v>0.03</v>
      </c>
      <c r="G6" t="s">
        <v>17</v>
      </c>
      <c r="H6">
        <v>2760</v>
      </c>
      <c r="I6">
        <f>(Table1_1[[#This Row],[Total sales]]*Table1_1[[#This Row],[Commission]])+Table1_1[[#This Row],[Total sales]]</f>
        <v>2842.8</v>
      </c>
    </row>
    <row r="7" spans="1:9" x14ac:dyDescent="0.3">
      <c r="A7" s="1">
        <v>43282</v>
      </c>
      <c r="B7" t="s">
        <v>7</v>
      </c>
      <c r="C7" t="s">
        <v>18</v>
      </c>
      <c r="D7">
        <v>19</v>
      </c>
      <c r="E7">
        <v>80</v>
      </c>
      <c r="F7">
        <v>0.02</v>
      </c>
      <c r="G7" t="s">
        <v>19</v>
      </c>
      <c r="H7">
        <v>1520</v>
      </c>
      <c r="I7">
        <f>(Table1_1[[#This Row],[Total sales]]*Table1_1[[#This Row],[Commission]])+Table1_1[[#This Row],[Total sales]]</f>
        <v>1550.4</v>
      </c>
    </row>
    <row r="8" spans="1:9" x14ac:dyDescent="0.3">
      <c r="A8" s="1">
        <v>43282</v>
      </c>
      <c r="B8" t="s">
        <v>20</v>
      </c>
      <c r="C8" t="s">
        <v>21</v>
      </c>
      <c r="D8">
        <v>17</v>
      </c>
      <c r="E8">
        <v>16</v>
      </c>
      <c r="F8">
        <v>0.08</v>
      </c>
      <c r="G8" t="s">
        <v>22</v>
      </c>
      <c r="H8">
        <v>272</v>
      </c>
      <c r="I8">
        <f>(Table1_1[[#This Row],[Total sales]]*Table1_1[[#This Row],[Commission]])+Table1_1[[#This Row],[Total sales]]</f>
        <v>293.76</v>
      </c>
    </row>
    <row r="9" spans="1:9" x14ac:dyDescent="0.3">
      <c r="A9" s="1">
        <v>43282</v>
      </c>
      <c r="B9" t="s">
        <v>23</v>
      </c>
      <c r="C9" t="s">
        <v>18</v>
      </c>
      <c r="D9">
        <v>7</v>
      </c>
      <c r="E9">
        <v>150</v>
      </c>
      <c r="F9">
        <v>0.05</v>
      </c>
      <c r="G9" t="s">
        <v>24</v>
      </c>
      <c r="H9">
        <v>1050</v>
      </c>
      <c r="I9">
        <f>(Table1_1[[#This Row],[Total sales]]*Table1_1[[#This Row],[Commission]])+Table1_1[[#This Row],[Total sales]]</f>
        <v>1102.5</v>
      </c>
    </row>
    <row r="10" spans="1:9" x14ac:dyDescent="0.3">
      <c r="A10" s="1">
        <v>43282</v>
      </c>
      <c r="B10" t="s">
        <v>23</v>
      </c>
      <c r="C10" t="s">
        <v>18</v>
      </c>
      <c r="D10">
        <v>20</v>
      </c>
      <c r="E10">
        <v>150</v>
      </c>
      <c r="F10">
        <v>0.1</v>
      </c>
      <c r="G10" t="s">
        <v>25</v>
      </c>
      <c r="H10">
        <v>3000</v>
      </c>
      <c r="I10">
        <f>(Table1_1[[#This Row],[Total sales]]*Table1_1[[#This Row],[Commission]])+Table1_1[[#This Row],[Total sales]]</f>
        <v>3300</v>
      </c>
    </row>
    <row r="11" spans="1:9" x14ac:dyDescent="0.3">
      <c r="A11" s="1">
        <v>43282</v>
      </c>
      <c r="B11" t="s">
        <v>20</v>
      </c>
      <c r="C11" t="s">
        <v>8</v>
      </c>
      <c r="D11">
        <v>21</v>
      </c>
      <c r="E11">
        <v>16</v>
      </c>
      <c r="F11">
        <v>0.09</v>
      </c>
      <c r="G11" t="s">
        <v>26</v>
      </c>
      <c r="H11">
        <v>336</v>
      </c>
      <c r="I11">
        <f>(Table1_1[[#This Row],[Total sales]]*Table1_1[[#This Row],[Commission]])+Table1_1[[#This Row],[Total sales]]</f>
        <v>366.24</v>
      </c>
    </row>
    <row r="12" spans="1:9" x14ac:dyDescent="0.3">
      <c r="A12" s="1">
        <v>43282</v>
      </c>
      <c r="B12" t="s">
        <v>13</v>
      </c>
      <c r="C12" t="s">
        <v>11</v>
      </c>
      <c r="D12">
        <v>7</v>
      </c>
      <c r="E12">
        <v>230</v>
      </c>
      <c r="F12">
        <v>0.01</v>
      </c>
      <c r="G12" t="s">
        <v>27</v>
      </c>
      <c r="H12">
        <v>1610</v>
      </c>
      <c r="I12">
        <f>(Table1_1[[#This Row],[Total sales]]*Table1_1[[#This Row],[Commission]])+Table1_1[[#This Row],[Total sales]]</f>
        <v>1626.1</v>
      </c>
    </row>
    <row r="13" spans="1:9" x14ac:dyDescent="0.3">
      <c r="A13" s="1">
        <v>43283</v>
      </c>
      <c r="B13" t="s">
        <v>7</v>
      </c>
      <c r="C13" t="s">
        <v>18</v>
      </c>
      <c r="D13">
        <v>7</v>
      </c>
      <c r="E13">
        <v>80</v>
      </c>
      <c r="F13">
        <v>7.0000000000000007E-2</v>
      </c>
      <c r="G13" t="s">
        <v>28</v>
      </c>
      <c r="H13">
        <v>560</v>
      </c>
      <c r="I13">
        <f>(Table1_1[[#This Row],[Total sales]]*Table1_1[[#This Row],[Commission]])+Table1_1[[#This Row],[Total sales]]</f>
        <v>599.20000000000005</v>
      </c>
    </row>
    <row r="14" spans="1:9" x14ac:dyDescent="0.3">
      <c r="A14" s="1">
        <v>43283</v>
      </c>
      <c r="B14" t="s">
        <v>7</v>
      </c>
      <c r="C14" t="s">
        <v>21</v>
      </c>
      <c r="D14">
        <v>9</v>
      </c>
      <c r="E14">
        <v>80</v>
      </c>
      <c r="F14">
        <v>0.02</v>
      </c>
      <c r="G14" t="s">
        <v>9</v>
      </c>
      <c r="H14">
        <v>720</v>
      </c>
      <c r="I14">
        <f>(Table1_1[[#This Row],[Total sales]]*Table1_1[[#This Row],[Commission]])+Table1_1[[#This Row],[Total sales]]</f>
        <v>734.4</v>
      </c>
    </row>
    <row r="15" spans="1:9" x14ac:dyDescent="0.3">
      <c r="A15" s="1">
        <v>43283</v>
      </c>
      <c r="B15" t="s">
        <v>10</v>
      </c>
      <c r="C15" t="s">
        <v>21</v>
      </c>
      <c r="D15">
        <v>16</v>
      </c>
      <c r="E15">
        <v>40</v>
      </c>
      <c r="F15">
        <v>0.09</v>
      </c>
      <c r="G15" t="s">
        <v>12</v>
      </c>
      <c r="H15">
        <v>640</v>
      </c>
      <c r="I15">
        <f>(Table1_1[[#This Row],[Total sales]]*Table1_1[[#This Row],[Commission]])+Table1_1[[#This Row],[Total sales]]</f>
        <v>697.6</v>
      </c>
    </row>
    <row r="16" spans="1:9" x14ac:dyDescent="0.3">
      <c r="A16" s="1">
        <v>43283</v>
      </c>
      <c r="B16" t="s">
        <v>23</v>
      </c>
      <c r="C16" t="s">
        <v>11</v>
      </c>
      <c r="D16">
        <v>23</v>
      </c>
      <c r="E16">
        <v>150</v>
      </c>
      <c r="F16">
        <v>0.11</v>
      </c>
      <c r="G16" t="s">
        <v>14</v>
      </c>
      <c r="H16">
        <v>3450</v>
      </c>
      <c r="I16">
        <f>(Table1_1[[#This Row],[Total sales]]*Table1_1[[#This Row],[Commission]])+Table1_1[[#This Row],[Total sales]]</f>
        <v>3829.5</v>
      </c>
    </row>
    <row r="17" spans="1:9" x14ac:dyDescent="0.3">
      <c r="A17" s="1">
        <v>43283</v>
      </c>
      <c r="B17" t="s">
        <v>20</v>
      </c>
      <c r="C17" t="s">
        <v>18</v>
      </c>
      <c r="D17">
        <v>22</v>
      </c>
      <c r="E17">
        <v>16</v>
      </c>
      <c r="F17">
        <v>0.03</v>
      </c>
      <c r="G17" t="s">
        <v>15</v>
      </c>
      <c r="H17">
        <v>352</v>
      </c>
      <c r="I17">
        <f>(Table1_1[[#This Row],[Total sales]]*Table1_1[[#This Row],[Commission]])+Table1_1[[#This Row],[Total sales]]</f>
        <v>362.56</v>
      </c>
    </row>
    <row r="18" spans="1:9" x14ac:dyDescent="0.3">
      <c r="A18" s="1">
        <v>43283</v>
      </c>
      <c r="B18" t="s">
        <v>10</v>
      </c>
      <c r="C18" t="s">
        <v>18</v>
      </c>
      <c r="D18">
        <v>23</v>
      </c>
      <c r="E18">
        <v>40</v>
      </c>
      <c r="F18">
        <v>0.06</v>
      </c>
      <c r="G18" t="s">
        <v>17</v>
      </c>
      <c r="H18">
        <v>920</v>
      </c>
      <c r="I18">
        <f>(Table1_1[[#This Row],[Total sales]]*Table1_1[[#This Row],[Commission]])+Table1_1[[#This Row],[Total sales]]</f>
        <v>975.2</v>
      </c>
    </row>
    <row r="19" spans="1:9" x14ac:dyDescent="0.3">
      <c r="A19" s="1">
        <v>43283</v>
      </c>
      <c r="B19" t="s">
        <v>7</v>
      </c>
      <c r="C19" t="s">
        <v>8</v>
      </c>
      <c r="D19">
        <v>20</v>
      </c>
      <c r="E19">
        <v>80</v>
      </c>
      <c r="F19">
        <v>0.01</v>
      </c>
      <c r="G19" t="s">
        <v>19</v>
      </c>
      <c r="H19">
        <v>1600</v>
      </c>
      <c r="I19">
        <f>(Table1_1[[#This Row],[Total sales]]*Table1_1[[#This Row],[Commission]])+Table1_1[[#This Row],[Total sales]]</f>
        <v>1616</v>
      </c>
    </row>
    <row r="20" spans="1:9" x14ac:dyDescent="0.3">
      <c r="A20" s="1">
        <v>43284</v>
      </c>
      <c r="B20" t="s">
        <v>7</v>
      </c>
      <c r="C20" t="s">
        <v>18</v>
      </c>
      <c r="D20">
        <v>11</v>
      </c>
      <c r="E20">
        <v>80</v>
      </c>
      <c r="F20">
        <v>0.01</v>
      </c>
      <c r="G20" t="s">
        <v>22</v>
      </c>
      <c r="H20">
        <v>880</v>
      </c>
      <c r="I20">
        <f>(Table1_1[[#This Row],[Total sales]]*Table1_1[[#This Row],[Commission]])+Table1_1[[#This Row],[Total sales]]</f>
        <v>888.8</v>
      </c>
    </row>
    <row r="21" spans="1:9" x14ac:dyDescent="0.3">
      <c r="A21" s="1">
        <v>43284</v>
      </c>
      <c r="B21" t="s">
        <v>10</v>
      </c>
      <c r="C21" t="s">
        <v>18</v>
      </c>
      <c r="D21">
        <v>9</v>
      </c>
      <c r="E21">
        <v>40</v>
      </c>
      <c r="F21">
        <v>0.06</v>
      </c>
      <c r="G21" t="s">
        <v>24</v>
      </c>
      <c r="H21">
        <v>360</v>
      </c>
      <c r="I21">
        <f>(Table1_1[[#This Row],[Total sales]]*Table1_1[[#This Row],[Commission]])+Table1_1[[#This Row],[Total sales]]</f>
        <v>381.6</v>
      </c>
    </row>
    <row r="22" spans="1:9" x14ac:dyDescent="0.3">
      <c r="A22" s="1">
        <v>43284</v>
      </c>
      <c r="B22" t="s">
        <v>7</v>
      </c>
      <c r="C22" t="s">
        <v>21</v>
      </c>
      <c r="D22">
        <v>16</v>
      </c>
      <c r="E22">
        <v>80</v>
      </c>
      <c r="F22">
        <v>0.09</v>
      </c>
      <c r="G22" t="s">
        <v>25</v>
      </c>
      <c r="H22">
        <v>1280</v>
      </c>
      <c r="I22">
        <f>(Table1_1[[#This Row],[Total sales]]*Table1_1[[#This Row],[Commission]])+Table1_1[[#This Row],[Total sales]]</f>
        <v>1395.2</v>
      </c>
    </row>
    <row r="23" spans="1:9" x14ac:dyDescent="0.3">
      <c r="A23" s="1">
        <v>43284</v>
      </c>
      <c r="B23" t="s">
        <v>7</v>
      </c>
      <c r="C23" t="s">
        <v>16</v>
      </c>
      <c r="D23">
        <v>10</v>
      </c>
      <c r="E23">
        <v>80</v>
      </c>
      <c r="F23">
        <v>0.08</v>
      </c>
      <c r="G23" t="s">
        <v>26</v>
      </c>
      <c r="H23">
        <v>800</v>
      </c>
      <c r="I23">
        <f>(Table1_1[[#This Row],[Total sales]]*Table1_1[[#This Row],[Commission]])+Table1_1[[#This Row],[Total sales]]</f>
        <v>864</v>
      </c>
    </row>
    <row r="24" spans="1:9" x14ac:dyDescent="0.3">
      <c r="A24" s="1">
        <v>43284</v>
      </c>
      <c r="B24" t="s">
        <v>20</v>
      </c>
      <c r="C24" t="s">
        <v>16</v>
      </c>
      <c r="D24">
        <v>12</v>
      </c>
      <c r="E24">
        <v>16</v>
      </c>
      <c r="F24">
        <v>0.11</v>
      </c>
      <c r="G24" t="s">
        <v>27</v>
      </c>
      <c r="H24">
        <v>192</v>
      </c>
      <c r="I24">
        <f>(Table1_1[[#This Row],[Total sales]]*Table1_1[[#This Row],[Commission]])+Table1_1[[#This Row],[Total sales]]</f>
        <v>213.12</v>
      </c>
    </row>
    <row r="25" spans="1:9" x14ac:dyDescent="0.3">
      <c r="A25" s="1">
        <v>43284</v>
      </c>
      <c r="B25" t="s">
        <v>23</v>
      </c>
      <c r="C25" t="s">
        <v>18</v>
      </c>
      <c r="D25">
        <v>6</v>
      </c>
      <c r="E25">
        <v>150</v>
      </c>
      <c r="F25">
        <v>0.03</v>
      </c>
      <c r="G25" t="s">
        <v>28</v>
      </c>
      <c r="H25">
        <v>900</v>
      </c>
      <c r="I25">
        <f>(Table1_1[[#This Row],[Total sales]]*Table1_1[[#This Row],[Commission]])+Table1_1[[#This Row],[Total sales]]</f>
        <v>927</v>
      </c>
    </row>
    <row r="26" spans="1:9" x14ac:dyDescent="0.3">
      <c r="A26" s="1">
        <v>43284</v>
      </c>
      <c r="B26" t="s">
        <v>20</v>
      </c>
      <c r="C26" t="s">
        <v>16</v>
      </c>
      <c r="D26">
        <v>11</v>
      </c>
      <c r="E26">
        <v>16</v>
      </c>
      <c r="F26">
        <v>0.04</v>
      </c>
      <c r="G26" t="s">
        <v>9</v>
      </c>
      <c r="H26">
        <v>176</v>
      </c>
      <c r="I26">
        <f>(Table1_1[[#This Row],[Total sales]]*Table1_1[[#This Row],[Commission]])+Table1_1[[#This Row],[Total sales]]</f>
        <v>183.04</v>
      </c>
    </row>
    <row r="27" spans="1:9" x14ac:dyDescent="0.3">
      <c r="A27" s="1">
        <v>43284</v>
      </c>
      <c r="B27" t="s">
        <v>7</v>
      </c>
      <c r="C27" t="s">
        <v>18</v>
      </c>
      <c r="D27">
        <v>22</v>
      </c>
      <c r="E27">
        <v>80</v>
      </c>
      <c r="F27">
        <v>0.03</v>
      </c>
      <c r="G27" t="s">
        <v>12</v>
      </c>
      <c r="H27">
        <v>1760</v>
      </c>
      <c r="I27">
        <f>(Table1_1[[#This Row],[Total sales]]*Table1_1[[#This Row],[Commission]])+Table1_1[[#This Row],[Total sales]]</f>
        <v>1812.8</v>
      </c>
    </row>
    <row r="28" spans="1:9" x14ac:dyDescent="0.3">
      <c r="A28" s="1">
        <v>43284</v>
      </c>
      <c r="B28" t="s">
        <v>20</v>
      </c>
      <c r="C28" t="s">
        <v>11</v>
      </c>
      <c r="D28">
        <v>7</v>
      </c>
      <c r="E28">
        <v>16</v>
      </c>
      <c r="F28">
        <v>0.08</v>
      </c>
      <c r="G28" t="s">
        <v>14</v>
      </c>
      <c r="H28">
        <v>112</v>
      </c>
      <c r="I28">
        <f>(Table1_1[[#This Row],[Total sales]]*Table1_1[[#This Row],[Commission]])+Table1_1[[#This Row],[Total sales]]</f>
        <v>120.96000000000001</v>
      </c>
    </row>
    <row r="29" spans="1:9" x14ac:dyDescent="0.3">
      <c r="A29" s="1">
        <v>43284</v>
      </c>
      <c r="B29" t="s">
        <v>10</v>
      </c>
      <c r="C29" t="s">
        <v>18</v>
      </c>
      <c r="D29">
        <v>13</v>
      </c>
      <c r="E29">
        <v>40</v>
      </c>
      <c r="F29">
        <v>0.09</v>
      </c>
      <c r="G29" t="s">
        <v>15</v>
      </c>
      <c r="H29">
        <v>520</v>
      </c>
      <c r="I29">
        <f>(Table1_1[[#This Row],[Total sales]]*Table1_1[[#This Row],[Commission]])+Table1_1[[#This Row],[Total sales]]</f>
        <v>566.79999999999995</v>
      </c>
    </row>
    <row r="30" spans="1:9" x14ac:dyDescent="0.3">
      <c r="A30" s="1">
        <v>43284</v>
      </c>
      <c r="B30" t="s">
        <v>13</v>
      </c>
      <c r="C30" t="s">
        <v>18</v>
      </c>
      <c r="D30">
        <v>8</v>
      </c>
      <c r="E30">
        <v>230</v>
      </c>
      <c r="F30">
        <v>0.05</v>
      </c>
      <c r="G30" t="s">
        <v>17</v>
      </c>
      <c r="H30">
        <v>1840</v>
      </c>
      <c r="I30">
        <f>(Table1_1[[#This Row],[Total sales]]*Table1_1[[#This Row],[Commission]])+Table1_1[[#This Row],[Total sales]]</f>
        <v>1932</v>
      </c>
    </row>
    <row r="31" spans="1:9" x14ac:dyDescent="0.3">
      <c r="A31" s="1">
        <v>43284</v>
      </c>
      <c r="B31" t="s">
        <v>20</v>
      </c>
      <c r="C31" t="s">
        <v>18</v>
      </c>
      <c r="D31">
        <v>14</v>
      </c>
      <c r="E31">
        <v>16</v>
      </c>
      <c r="F31">
        <v>0.12</v>
      </c>
      <c r="G31" t="s">
        <v>19</v>
      </c>
      <c r="H31">
        <v>224</v>
      </c>
      <c r="I31">
        <f>(Table1_1[[#This Row],[Total sales]]*Table1_1[[#This Row],[Commission]])+Table1_1[[#This Row],[Total sales]]</f>
        <v>250.88</v>
      </c>
    </row>
    <row r="32" spans="1:9" x14ac:dyDescent="0.3">
      <c r="A32" s="1">
        <v>43284</v>
      </c>
      <c r="B32" t="s">
        <v>10</v>
      </c>
      <c r="C32" t="s">
        <v>21</v>
      </c>
      <c r="D32">
        <v>16</v>
      </c>
      <c r="E32">
        <v>40</v>
      </c>
      <c r="F32">
        <v>0.09</v>
      </c>
      <c r="G32" t="s">
        <v>22</v>
      </c>
      <c r="H32">
        <v>640</v>
      </c>
      <c r="I32">
        <f>(Table1_1[[#This Row],[Total sales]]*Table1_1[[#This Row],[Commission]])+Table1_1[[#This Row],[Total sales]]</f>
        <v>697.6</v>
      </c>
    </row>
    <row r="33" spans="1:9" x14ac:dyDescent="0.3">
      <c r="A33" s="1">
        <v>43285</v>
      </c>
      <c r="B33" t="s">
        <v>23</v>
      </c>
      <c r="C33" t="s">
        <v>11</v>
      </c>
      <c r="D33">
        <v>16</v>
      </c>
      <c r="E33">
        <v>150</v>
      </c>
      <c r="F33">
        <v>0.05</v>
      </c>
      <c r="G33" t="s">
        <v>24</v>
      </c>
      <c r="H33">
        <v>2400</v>
      </c>
      <c r="I33">
        <f>(Table1_1[[#This Row],[Total sales]]*Table1_1[[#This Row],[Commission]])+Table1_1[[#This Row],[Total sales]]</f>
        <v>2520</v>
      </c>
    </row>
    <row r="34" spans="1:9" x14ac:dyDescent="0.3">
      <c r="A34" s="1">
        <v>43285</v>
      </c>
      <c r="B34" t="s">
        <v>10</v>
      </c>
      <c r="C34" t="s">
        <v>11</v>
      </c>
      <c r="D34">
        <v>12</v>
      </c>
      <c r="E34">
        <v>40</v>
      </c>
      <c r="F34">
        <v>0.1</v>
      </c>
      <c r="G34" t="s">
        <v>25</v>
      </c>
      <c r="H34">
        <v>480</v>
      </c>
      <c r="I34">
        <f>(Table1_1[[#This Row],[Total sales]]*Table1_1[[#This Row],[Commission]])+Table1_1[[#This Row],[Total sales]]</f>
        <v>528</v>
      </c>
    </row>
    <row r="35" spans="1:9" x14ac:dyDescent="0.3">
      <c r="A35" s="1">
        <v>43285</v>
      </c>
      <c r="B35" t="s">
        <v>7</v>
      </c>
      <c r="C35" t="s">
        <v>21</v>
      </c>
      <c r="D35">
        <v>17</v>
      </c>
      <c r="E35">
        <v>80</v>
      </c>
      <c r="F35">
        <v>7.0000000000000007E-2</v>
      </c>
      <c r="G35" t="s">
        <v>26</v>
      </c>
      <c r="H35">
        <v>1360</v>
      </c>
      <c r="I35">
        <f>(Table1_1[[#This Row],[Total sales]]*Table1_1[[#This Row],[Commission]])+Table1_1[[#This Row],[Total sales]]</f>
        <v>1455.2</v>
      </c>
    </row>
    <row r="36" spans="1:9" x14ac:dyDescent="0.3">
      <c r="A36" s="1">
        <v>43285</v>
      </c>
      <c r="B36" t="s">
        <v>13</v>
      </c>
      <c r="C36" t="s">
        <v>18</v>
      </c>
      <c r="D36">
        <v>19</v>
      </c>
      <c r="E36">
        <v>230</v>
      </c>
      <c r="F36">
        <v>0.06</v>
      </c>
      <c r="G36" t="s">
        <v>27</v>
      </c>
      <c r="H36">
        <v>4370</v>
      </c>
      <c r="I36">
        <f>(Table1_1[[#This Row],[Total sales]]*Table1_1[[#This Row],[Commission]])+Table1_1[[#This Row],[Total sales]]</f>
        <v>4632.2</v>
      </c>
    </row>
    <row r="37" spans="1:9" x14ac:dyDescent="0.3">
      <c r="A37" s="1">
        <v>43285</v>
      </c>
      <c r="B37" t="s">
        <v>13</v>
      </c>
      <c r="C37" t="s">
        <v>21</v>
      </c>
      <c r="D37">
        <v>22</v>
      </c>
      <c r="E37">
        <v>230</v>
      </c>
      <c r="F37">
        <v>0.1</v>
      </c>
      <c r="G37" t="s">
        <v>28</v>
      </c>
      <c r="H37">
        <v>5060</v>
      </c>
      <c r="I37">
        <f>(Table1_1[[#This Row],[Total sales]]*Table1_1[[#This Row],[Commission]])+Table1_1[[#This Row],[Total sales]]</f>
        <v>5566</v>
      </c>
    </row>
    <row r="38" spans="1:9" x14ac:dyDescent="0.3">
      <c r="A38" s="1">
        <v>43285</v>
      </c>
      <c r="B38" t="s">
        <v>10</v>
      </c>
      <c r="C38" t="s">
        <v>18</v>
      </c>
      <c r="D38">
        <v>22</v>
      </c>
      <c r="E38">
        <v>40</v>
      </c>
      <c r="F38">
        <v>0.01</v>
      </c>
      <c r="G38" t="s">
        <v>9</v>
      </c>
      <c r="H38">
        <v>880</v>
      </c>
      <c r="I38">
        <f>(Table1_1[[#This Row],[Total sales]]*Table1_1[[#This Row],[Commission]])+Table1_1[[#This Row],[Total sales]]</f>
        <v>888.8</v>
      </c>
    </row>
    <row r="39" spans="1:9" x14ac:dyDescent="0.3">
      <c r="A39" s="1">
        <v>43285</v>
      </c>
      <c r="B39" t="s">
        <v>20</v>
      </c>
      <c r="C39" t="s">
        <v>18</v>
      </c>
      <c r="D39">
        <v>10</v>
      </c>
      <c r="E39">
        <v>16</v>
      </c>
      <c r="F39">
        <v>0.04</v>
      </c>
      <c r="G39" t="s">
        <v>12</v>
      </c>
      <c r="H39">
        <v>160</v>
      </c>
      <c r="I39">
        <f>(Table1_1[[#This Row],[Total sales]]*Table1_1[[#This Row],[Commission]])+Table1_1[[#This Row],[Total sales]]</f>
        <v>166.4</v>
      </c>
    </row>
    <row r="40" spans="1:9" x14ac:dyDescent="0.3">
      <c r="A40" s="1">
        <v>43285</v>
      </c>
      <c r="B40" t="s">
        <v>10</v>
      </c>
      <c r="C40" t="s">
        <v>11</v>
      </c>
      <c r="D40">
        <v>4</v>
      </c>
      <c r="E40">
        <v>40</v>
      </c>
      <c r="F40">
        <v>0.12</v>
      </c>
      <c r="G40" t="s">
        <v>14</v>
      </c>
      <c r="H40">
        <v>160</v>
      </c>
      <c r="I40">
        <f>(Table1_1[[#This Row],[Total sales]]*Table1_1[[#This Row],[Commission]])+Table1_1[[#This Row],[Total sales]]</f>
        <v>179.2</v>
      </c>
    </row>
    <row r="41" spans="1:9" x14ac:dyDescent="0.3">
      <c r="A41" s="1">
        <v>43285</v>
      </c>
      <c r="B41" t="s">
        <v>10</v>
      </c>
      <c r="C41" t="s">
        <v>21</v>
      </c>
      <c r="D41">
        <v>20</v>
      </c>
      <c r="E41">
        <v>40</v>
      </c>
      <c r="F41">
        <v>0.05</v>
      </c>
      <c r="G41" t="s">
        <v>15</v>
      </c>
      <c r="H41">
        <v>800</v>
      </c>
      <c r="I41">
        <f>(Table1_1[[#This Row],[Total sales]]*Table1_1[[#This Row],[Commission]])+Table1_1[[#This Row],[Total sales]]</f>
        <v>840</v>
      </c>
    </row>
    <row r="42" spans="1:9" x14ac:dyDescent="0.3">
      <c r="A42" s="1">
        <v>43286</v>
      </c>
      <c r="B42" t="s">
        <v>13</v>
      </c>
      <c r="C42" t="s">
        <v>18</v>
      </c>
      <c r="D42">
        <v>23</v>
      </c>
      <c r="E42">
        <v>230</v>
      </c>
      <c r="F42">
        <v>0.06</v>
      </c>
      <c r="G42" t="s">
        <v>17</v>
      </c>
      <c r="H42">
        <v>5290</v>
      </c>
      <c r="I42">
        <f>(Table1_1[[#This Row],[Total sales]]*Table1_1[[#This Row],[Commission]])+Table1_1[[#This Row],[Total sales]]</f>
        <v>5607.4</v>
      </c>
    </row>
    <row r="43" spans="1:9" x14ac:dyDescent="0.3">
      <c r="A43" s="1">
        <v>43286</v>
      </c>
      <c r="B43" t="s">
        <v>10</v>
      </c>
      <c r="C43" t="s">
        <v>16</v>
      </c>
      <c r="D43">
        <v>20</v>
      </c>
      <c r="E43">
        <v>40</v>
      </c>
      <c r="F43">
        <v>0.01</v>
      </c>
      <c r="G43" t="s">
        <v>19</v>
      </c>
      <c r="H43">
        <v>800</v>
      </c>
      <c r="I43">
        <f>(Table1_1[[#This Row],[Total sales]]*Table1_1[[#This Row],[Commission]])+Table1_1[[#This Row],[Total sales]]</f>
        <v>808</v>
      </c>
    </row>
    <row r="44" spans="1:9" x14ac:dyDescent="0.3">
      <c r="A44" s="1">
        <v>43286</v>
      </c>
      <c r="B44" t="s">
        <v>23</v>
      </c>
      <c r="C44" t="s">
        <v>16</v>
      </c>
      <c r="D44">
        <v>20</v>
      </c>
      <c r="E44">
        <v>150</v>
      </c>
      <c r="F44">
        <v>0.04</v>
      </c>
      <c r="G44" t="s">
        <v>22</v>
      </c>
      <c r="H44">
        <v>3000</v>
      </c>
      <c r="I44">
        <f>(Table1_1[[#This Row],[Total sales]]*Table1_1[[#This Row],[Commission]])+Table1_1[[#This Row],[Total sales]]</f>
        <v>3120</v>
      </c>
    </row>
    <row r="45" spans="1:9" x14ac:dyDescent="0.3">
      <c r="A45" s="1">
        <v>43286</v>
      </c>
      <c r="B45" t="s">
        <v>7</v>
      </c>
      <c r="C45" t="s">
        <v>11</v>
      </c>
      <c r="D45">
        <v>9</v>
      </c>
      <c r="E45">
        <v>80</v>
      </c>
      <c r="F45">
        <v>0.03</v>
      </c>
      <c r="G45" t="s">
        <v>24</v>
      </c>
      <c r="H45">
        <v>720</v>
      </c>
      <c r="I45">
        <f>(Table1_1[[#This Row],[Total sales]]*Table1_1[[#This Row],[Commission]])+Table1_1[[#This Row],[Total sales]]</f>
        <v>741.6</v>
      </c>
    </row>
    <row r="46" spans="1:9" x14ac:dyDescent="0.3">
      <c r="A46" s="1">
        <v>43286</v>
      </c>
      <c r="B46" t="s">
        <v>13</v>
      </c>
      <c r="C46" t="s">
        <v>8</v>
      </c>
      <c r="D46">
        <v>7</v>
      </c>
      <c r="E46">
        <v>230</v>
      </c>
      <c r="F46">
        <v>0.02</v>
      </c>
      <c r="G46" t="s">
        <v>25</v>
      </c>
      <c r="H46">
        <v>1610</v>
      </c>
      <c r="I46">
        <f>(Table1_1[[#This Row],[Total sales]]*Table1_1[[#This Row],[Commission]])+Table1_1[[#This Row],[Total sales]]</f>
        <v>1642.2</v>
      </c>
    </row>
    <row r="47" spans="1:9" x14ac:dyDescent="0.3">
      <c r="A47" s="1">
        <v>43286</v>
      </c>
      <c r="B47" t="s">
        <v>13</v>
      </c>
      <c r="C47" t="s">
        <v>8</v>
      </c>
      <c r="D47">
        <v>3</v>
      </c>
      <c r="E47">
        <v>230</v>
      </c>
      <c r="F47">
        <v>0.06</v>
      </c>
      <c r="G47" t="s">
        <v>26</v>
      </c>
      <c r="H47">
        <v>690</v>
      </c>
      <c r="I47">
        <f>(Table1_1[[#This Row],[Total sales]]*Table1_1[[#This Row],[Commission]])+Table1_1[[#This Row],[Total sales]]</f>
        <v>731.4</v>
      </c>
    </row>
    <row r="48" spans="1:9" x14ac:dyDescent="0.3">
      <c r="A48" s="1">
        <v>43286</v>
      </c>
      <c r="B48" t="s">
        <v>23</v>
      </c>
      <c r="C48" t="s">
        <v>8</v>
      </c>
      <c r="D48">
        <v>13</v>
      </c>
      <c r="E48">
        <v>150</v>
      </c>
      <c r="F48">
        <v>0.05</v>
      </c>
      <c r="G48" t="s">
        <v>27</v>
      </c>
      <c r="H48">
        <v>1950</v>
      </c>
      <c r="I48">
        <f>(Table1_1[[#This Row],[Total sales]]*Table1_1[[#This Row],[Commission]])+Table1_1[[#This Row],[Total sales]]</f>
        <v>2047.5</v>
      </c>
    </row>
    <row r="49" spans="1:9" x14ac:dyDescent="0.3">
      <c r="A49" s="1">
        <v>43286</v>
      </c>
      <c r="B49" t="s">
        <v>7</v>
      </c>
      <c r="C49" t="s">
        <v>8</v>
      </c>
      <c r="D49">
        <v>17</v>
      </c>
      <c r="E49">
        <v>80</v>
      </c>
      <c r="F49">
        <v>0.09</v>
      </c>
      <c r="G49" t="s">
        <v>28</v>
      </c>
      <c r="H49">
        <v>1360</v>
      </c>
      <c r="I49">
        <f>(Table1_1[[#This Row],[Total sales]]*Table1_1[[#This Row],[Commission]])+Table1_1[[#This Row],[Total sales]]</f>
        <v>1482.4</v>
      </c>
    </row>
    <row r="50" spans="1:9" x14ac:dyDescent="0.3">
      <c r="A50" s="1">
        <v>43287</v>
      </c>
      <c r="B50" t="s">
        <v>10</v>
      </c>
      <c r="C50" t="s">
        <v>18</v>
      </c>
      <c r="D50">
        <v>18</v>
      </c>
      <c r="E50">
        <v>40</v>
      </c>
      <c r="F50">
        <v>0.06</v>
      </c>
      <c r="G50" t="s">
        <v>9</v>
      </c>
      <c r="H50">
        <v>720</v>
      </c>
      <c r="I50">
        <f>(Table1_1[[#This Row],[Total sales]]*Table1_1[[#This Row],[Commission]])+Table1_1[[#This Row],[Total sales]]</f>
        <v>763.2</v>
      </c>
    </row>
    <row r="51" spans="1:9" x14ac:dyDescent="0.3">
      <c r="A51" s="1">
        <v>43287</v>
      </c>
      <c r="B51" t="s">
        <v>20</v>
      </c>
      <c r="C51" t="s">
        <v>16</v>
      </c>
      <c r="D51">
        <v>23</v>
      </c>
      <c r="E51">
        <v>16</v>
      </c>
      <c r="F51">
        <v>0.11</v>
      </c>
      <c r="G51" t="s">
        <v>12</v>
      </c>
      <c r="H51">
        <v>368</v>
      </c>
      <c r="I51">
        <f>(Table1_1[[#This Row],[Total sales]]*Table1_1[[#This Row],[Commission]])+Table1_1[[#This Row],[Total sales]]</f>
        <v>408.48</v>
      </c>
    </row>
    <row r="52" spans="1:9" x14ac:dyDescent="0.3">
      <c r="A52" s="1">
        <v>43287</v>
      </c>
      <c r="B52" t="s">
        <v>13</v>
      </c>
      <c r="C52" t="s">
        <v>16</v>
      </c>
      <c r="D52">
        <v>20</v>
      </c>
      <c r="E52">
        <v>230</v>
      </c>
      <c r="F52">
        <v>0.06</v>
      </c>
      <c r="G52" t="s">
        <v>14</v>
      </c>
      <c r="H52">
        <v>4600</v>
      </c>
      <c r="I52">
        <f>(Table1_1[[#This Row],[Total sales]]*Table1_1[[#This Row],[Commission]])+Table1_1[[#This Row],[Total sales]]</f>
        <v>4876</v>
      </c>
    </row>
    <row r="53" spans="1:9" x14ac:dyDescent="0.3">
      <c r="A53" s="1">
        <v>43287</v>
      </c>
      <c r="B53" t="s">
        <v>20</v>
      </c>
      <c r="C53" t="s">
        <v>8</v>
      </c>
      <c r="D53">
        <v>11</v>
      </c>
      <c r="E53">
        <v>16</v>
      </c>
      <c r="F53">
        <v>0.09</v>
      </c>
      <c r="G53" t="s">
        <v>15</v>
      </c>
      <c r="H53">
        <v>176</v>
      </c>
      <c r="I53">
        <f>(Table1_1[[#This Row],[Total sales]]*Table1_1[[#This Row],[Commission]])+Table1_1[[#This Row],[Total sales]]</f>
        <v>191.84</v>
      </c>
    </row>
    <row r="54" spans="1:9" x14ac:dyDescent="0.3">
      <c r="A54" s="1">
        <v>43287</v>
      </c>
      <c r="B54" t="s">
        <v>23</v>
      </c>
      <c r="C54" t="s">
        <v>21</v>
      </c>
      <c r="D54">
        <v>15</v>
      </c>
      <c r="E54">
        <v>150</v>
      </c>
      <c r="F54">
        <v>7.0000000000000007E-2</v>
      </c>
      <c r="G54" t="s">
        <v>17</v>
      </c>
      <c r="H54">
        <v>2250</v>
      </c>
      <c r="I54">
        <f>(Table1_1[[#This Row],[Total sales]]*Table1_1[[#This Row],[Commission]])+Table1_1[[#This Row],[Total sales]]</f>
        <v>2407.5</v>
      </c>
    </row>
    <row r="55" spans="1:9" x14ac:dyDescent="0.3">
      <c r="A55" s="1">
        <v>43287</v>
      </c>
      <c r="B55" t="s">
        <v>13</v>
      </c>
      <c r="C55" t="s">
        <v>11</v>
      </c>
      <c r="D55">
        <v>6</v>
      </c>
      <c r="E55">
        <v>230</v>
      </c>
      <c r="F55">
        <v>0.1</v>
      </c>
      <c r="G55" t="s">
        <v>19</v>
      </c>
      <c r="H55">
        <v>1380</v>
      </c>
      <c r="I55">
        <f>(Table1_1[[#This Row],[Total sales]]*Table1_1[[#This Row],[Commission]])+Table1_1[[#This Row],[Total sales]]</f>
        <v>1518</v>
      </c>
    </row>
    <row r="56" spans="1:9" x14ac:dyDescent="0.3">
      <c r="A56" s="1">
        <v>43287</v>
      </c>
      <c r="B56" t="s">
        <v>10</v>
      </c>
      <c r="C56" t="s">
        <v>8</v>
      </c>
      <c r="D56">
        <v>22</v>
      </c>
      <c r="E56">
        <v>40</v>
      </c>
      <c r="F56">
        <v>0.02</v>
      </c>
      <c r="G56" t="s">
        <v>22</v>
      </c>
      <c r="H56">
        <v>880</v>
      </c>
      <c r="I56">
        <f>(Table1_1[[#This Row],[Total sales]]*Table1_1[[#This Row],[Commission]])+Table1_1[[#This Row],[Total sales]]</f>
        <v>897.6</v>
      </c>
    </row>
    <row r="57" spans="1:9" x14ac:dyDescent="0.3">
      <c r="A57" s="1">
        <v>43287</v>
      </c>
      <c r="B57" t="s">
        <v>10</v>
      </c>
      <c r="C57" t="s">
        <v>8</v>
      </c>
      <c r="D57">
        <v>15</v>
      </c>
      <c r="E57">
        <v>40</v>
      </c>
      <c r="F57">
        <v>0.06</v>
      </c>
      <c r="G57" t="s">
        <v>24</v>
      </c>
      <c r="H57">
        <v>600</v>
      </c>
      <c r="I57">
        <f>(Table1_1[[#This Row],[Total sales]]*Table1_1[[#This Row],[Commission]])+Table1_1[[#This Row],[Total sales]]</f>
        <v>636</v>
      </c>
    </row>
    <row r="58" spans="1:9" x14ac:dyDescent="0.3">
      <c r="A58" s="1">
        <v>43287</v>
      </c>
      <c r="B58" t="s">
        <v>20</v>
      </c>
      <c r="C58" t="s">
        <v>16</v>
      </c>
      <c r="D58">
        <v>12</v>
      </c>
      <c r="E58">
        <v>16</v>
      </c>
      <c r="F58">
        <v>0.03</v>
      </c>
      <c r="G58" t="s">
        <v>25</v>
      </c>
      <c r="H58">
        <v>192</v>
      </c>
      <c r="I58">
        <f>(Table1_1[[#This Row],[Total sales]]*Table1_1[[#This Row],[Commission]])+Table1_1[[#This Row],[Total sales]]</f>
        <v>197.76</v>
      </c>
    </row>
    <row r="59" spans="1:9" x14ac:dyDescent="0.3">
      <c r="A59" s="1">
        <v>43287</v>
      </c>
      <c r="B59" t="s">
        <v>20</v>
      </c>
      <c r="C59" t="s">
        <v>21</v>
      </c>
      <c r="D59">
        <v>22</v>
      </c>
      <c r="E59">
        <v>16</v>
      </c>
      <c r="F59">
        <v>0.12</v>
      </c>
      <c r="G59" t="s">
        <v>26</v>
      </c>
      <c r="H59">
        <v>352</v>
      </c>
      <c r="I59">
        <f>(Table1_1[[#This Row],[Total sales]]*Table1_1[[#This Row],[Commission]])+Table1_1[[#This Row],[Total sales]]</f>
        <v>394.24</v>
      </c>
    </row>
    <row r="60" spans="1:9" x14ac:dyDescent="0.3">
      <c r="A60" s="1">
        <v>43287</v>
      </c>
      <c r="B60" t="s">
        <v>7</v>
      </c>
      <c r="C60" t="s">
        <v>8</v>
      </c>
      <c r="D60">
        <v>21</v>
      </c>
      <c r="E60">
        <v>80</v>
      </c>
      <c r="F60">
        <v>0.04</v>
      </c>
      <c r="G60" t="s">
        <v>27</v>
      </c>
      <c r="H60">
        <v>1680</v>
      </c>
      <c r="I60">
        <f>(Table1_1[[#This Row],[Total sales]]*Table1_1[[#This Row],[Commission]])+Table1_1[[#This Row],[Total sales]]</f>
        <v>1747.2</v>
      </c>
    </row>
    <row r="61" spans="1:9" x14ac:dyDescent="0.3">
      <c r="A61" s="1">
        <v>43287</v>
      </c>
      <c r="B61" t="s">
        <v>23</v>
      </c>
      <c r="C61" t="s">
        <v>8</v>
      </c>
      <c r="D61">
        <v>22</v>
      </c>
      <c r="E61">
        <v>150</v>
      </c>
      <c r="F61">
        <v>0.05</v>
      </c>
      <c r="G61" t="s">
        <v>28</v>
      </c>
      <c r="H61">
        <v>3300</v>
      </c>
      <c r="I61">
        <f>(Table1_1[[#This Row],[Total sales]]*Table1_1[[#This Row],[Commission]])+Table1_1[[#This Row],[Total sales]]</f>
        <v>3465</v>
      </c>
    </row>
    <row r="62" spans="1:9" x14ac:dyDescent="0.3">
      <c r="A62" s="1">
        <v>43287</v>
      </c>
      <c r="B62" t="s">
        <v>7</v>
      </c>
      <c r="C62" t="s">
        <v>21</v>
      </c>
      <c r="D62">
        <v>21</v>
      </c>
      <c r="E62">
        <v>80</v>
      </c>
      <c r="F62">
        <v>0.09</v>
      </c>
      <c r="G62" t="s">
        <v>9</v>
      </c>
      <c r="H62">
        <v>1680</v>
      </c>
      <c r="I62">
        <f>(Table1_1[[#This Row],[Total sales]]*Table1_1[[#This Row],[Commission]])+Table1_1[[#This Row],[Total sales]]</f>
        <v>1831.2</v>
      </c>
    </row>
    <row r="63" spans="1:9" x14ac:dyDescent="0.3">
      <c r="A63" s="1">
        <v>43287</v>
      </c>
      <c r="B63" t="s">
        <v>7</v>
      </c>
      <c r="C63" t="s">
        <v>18</v>
      </c>
      <c r="D63">
        <v>10</v>
      </c>
      <c r="E63">
        <v>80</v>
      </c>
      <c r="F63">
        <v>0.1</v>
      </c>
      <c r="G63" t="s">
        <v>12</v>
      </c>
      <c r="H63">
        <v>800</v>
      </c>
      <c r="I63">
        <f>(Table1_1[[#This Row],[Total sales]]*Table1_1[[#This Row],[Commission]])+Table1_1[[#This Row],[Total sales]]</f>
        <v>880</v>
      </c>
    </row>
    <row r="64" spans="1:9" x14ac:dyDescent="0.3">
      <c r="A64" s="1">
        <v>43287</v>
      </c>
      <c r="B64" t="s">
        <v>13</v>
      </c>
      <c r="C64" t="s">
        <v>11</v>
      </c>
      <c r="D64">
        <v>15</v>
      </c>
      <c r="E64">
        <v>230</v>
      </c>
      <c r="F64">
        <v>0.09</v>
      </c>
      <c r="G64" t="s">
        <v>14</v>
      </c>
      <c r="H64">
        <v>3450</v>
      </c>
      <c r="I64">
        <f>(Table1_1[[#This Row],[Total sales]]*Table1_1[[#This Row],[Commission]])+Table1_1[[#This Row],[Total sales]]</f>
        <v>3760.5</v>
      </c>
    </row>
    <row r="65" spans="1:9" x14ac:dyDescent="0.3">
      <c r="A65" s="1">
        <v>43288</v>
      </c>
      <c r="B65" t="s">
        <v>7</v>
      </c>
      <c r="C65" t="s">
        <v>8</v>
      </c>
      <c r="D65">
        <v>14</v>
      </c>
      <c r="E65">
        <v>80</v>
      </c>
      <c r="F65">
        <v>0.08</v>
      </c>
      <c r="G65" t="s">
        <v>15</v>
      </c>
      <c r="H65">
        <v>1120</v>
      </c>
      <c r="I65">
        <f>(Table1_1[[#This Row],[Total sales]]*Table1_1[[#This Row],[Commission]])+Table1_1[[#This Row],[Total sales]]</f>
        <v>1209.5999999999999</v>
      </c>
    </row>
    <row r="66" spans="1:9" x14ac:dyDescent="0.3">
      <c r="A66" s="1">
        <v>43288</v>
      </c>
      <c r="B66" t="s">
        <v>7</v>
      </c>
      <c r="C66" t="s">
        <v>21</v>
      </c>
      <c r="D66">
        <v>10</v>
      </c>
      <c r="E66">
        <v>80</v>
      </c>
      <c r="F66">
        <v>0.06</v>
      </c>
      <c r="G66" t="s">
        <v>17</v>
      </c>
      <c r="H66">
        <v>800</v>
      </c>
      <c r="I66">
        <f>(Table1_1[[#This Row],[Total sales]]*Table1_1[[#This Row],[Commission]])+Table1_1[[#This Row],[Total sales]]</f>
        <v>848</v>
      </c>
    </row>
    <row r="67" spans="1:9" x14ac:dyDescent="0.3">
      <c r="A67" s="1">
        <v>43288</v>
      </c>
      <c r="B67" t="s">
        <v>23</v>
      </c>
      <c r="C67" t="s">
        <v>8</v>
      </c>
      <c r="D67">
        <v>5</v>
      </c>
      <c r="E67">
        <v>150</v>
      </c>
      <c r="F67">
        <v>0.11</v>
      </c>
      <c r="G67" t="s">
        <v>19</v>
      </c>
      <c r="H67">
        <v>750</v>
      </c>
      <c r="I67">
        <f>(Table1_1[[#This Row],[Total sales]]*Table1_1[[#This Row],[Commission]])+Table1_1[[#This Row],[Total sales]]</f>
        <v>832.5</v>
      </c>
    </row>
    <row r="68" spans="1:9" x14ac:dyDescent="0.3">
      <c r="A68" s="1">
        <v>43288</v>
      </c>
      <c r="B68" t="s">
        <v>13</v>
      </c>
      <c r="C68" t="s">
        <v>18</v>
      </c>
      <c r="D68">
        <v>3</v>
      </c>
      <c r="E68">
        <v>230</v>
      </c>
      <c r="F68">
        <v>0.01</v>
      </c>
      <c r="G68" t="s">
        <v>22</v>
      </c>
      <c r="H68">
        <v>690</v>
      </c>
      <c r="I68">
        <f>(Table1_1[[#This Row],[Total sales]]*Table1_1[[#This Row],[Commission]])+Table1_1[[#This Row],[Total sales]]</f>
        <v>696.9</v>
      </c>
    </row>
    <row r="69" spans="1:9" x14ac:dyDescent="0.3">
      <c r="A69" s="1">
        <v>43288</v>
      </c>
      <c r="B69" t="s">
        <v>10</v>
      </c>
      <c r="C69" t="s">
        <v>18</v>
      </c>
      <c r="D69">
        <v>4</v>
      </c>
      <c r="E69">
        <v>40</v>
      </c>
      <c r="F69">
        <v>0.05</v>
      </c>
      <c r="G69" t="s">
        <v>24</v>
      </c>
      <c r="H69">
        <v>160</v>
      </c>
      <c r="I69">
        <f>(Table1_1[[#This Row],[Total sales]]*Table1_1[[#This Row],[Commission]])+Table1_1[[#This Row],[Total sales]]</f>
        <v>168</v>
      </c>
    </row>
    <row r="70" spans="1:9" x14ac:dyDescent="0.3">
      <c r="A70" s="1">
        <v>43288</v>
      </c>
      <c r="B70" t="s">
        <v>23</v>
      </c>
      <c r="C70" t="s">
        <v>16</v>
      </c>
      <c r="D70">
        <v>18</v>
      </c>
      <c r="E70">
        <v>150</v>
      </c>
      <c r="F70">
        <v>0.06</v>
      </c>
      <c r="G70" t="s">
        <v>25</v>
      </c>
      <c r="H70">
        <v>2700</v>
      </c>
      <c r="I70">
        <f>(Table1_1[[#This Row],[Total sales]]*Table1_1[[#This Row],[Commission]])+Table1_1[[#This Row],[Total sales]]</f>
        <v>2862</v>
      </c>
    </row>
    <row r="71" spans="1:9" x14ac:dyDescent="0.3">
      <c r="A71" s="1">
        <v>43288</v>
      </c>
      <c r="B71" t="s">
        <v>10</v>
      </c>
      <c r="C71" t="s">
        <v>21</v>
      </c>
      <c r="D71">
        <v>20</v>
      </c>
      <c r="E71">
        <v>40</v>
      </c>
      <c r="F71">
        <v>0.1</v>
      </c>
      <c r="G71" t="s">
        <v>26</v>
      </c>
      <c r="H71">
        <v>800</v>
      </c>
      <c r="I71">
        <f>(Table1_1[[#This Row],[Total sales]]*Table1_1[[#This Row],[Commission]])+Table1_1[[#This Row],[Total sales]]</f>
        <v>880</v>
      </c>
    </row>
    <row r="72" spans="1:9" x14ac:dyDescent="0.3">
      <c r="A72" s="1">
        <v>43288</v>
      </c>
      <c r="B72" t="s">
        <v>7</v>
      </c>
      <c r="C72" t="s">
        <v>18</v>
      </c>
      <c r="D72">
        <v>16</v>
      </c>
      <c r="E72">
        <v>80</v>
      </c>
      <c r="F72">
        <v>0.05</v>
      </c>
      <c r="G72" t="s">
        <v>9</v>
      </c>
      <c r="H72">
        <v>1280</v>
      </c>
      <c r="I72">
        <f>(Table1_1[[#This Row],[Total sales]]*Table1_1[[#This Row],[Commission]])+Table1_1[[#This Row],[Total sales]]</f>
        <v>1344</v>
      </c>
    </row>
    <row r="73" spans="1:9" x14ac:dyDescent="0.3">
      <c r="A73" s="1">
        <v>43288</v>
      </c>
      <c r="B73" t="s">
        <v>10</v>
      </c>
      <c r="C73" t="s">
        <v>16</v>
      </c>
      <c r="D73">
        <v>4</v>
      </c>
      <c r="E73">
        <v>40</v>
      </c>
      <c r="F73">
        <v>0.06</v>
      </c>
      <c r="G73" t="s">
        <v>12</v>
      </c>
      <c r="H73">
        <v>160</v>
      </c>
      <c r="I73">
        <f>(Table1_1[[#This Row],[Total sales]]*Table1_1[[#This Row],[Commission]])+Table1_1[[#This Row],[Total sales]]</f>
        <v>169.6</v>
      </c>
    </row>
    <row r="74" spans="1:9" x14ac:dyDescent="0.3">
      <c r="A74" s="1">
        <v>43288</v>
      </c>
      <c r="B74" t="s">
        <v>10</v>
      </c>
      <c r="C74" t="s">
        <v>11</v>
      </c>
      <c r="D74">
        <v>4</v>
      </c>
      <c r="E74">
        <v>40</v>
      </c>
      <c r="F74">
        <v>0.03</v>
      </c>
      <c r="G74" t="s">
        <v>14</v>
      </c>
      <c r="H74">
        <v>160</v>
      </c>
      <c r="I74">
        <f>(Table1_1[[#This Row],[Total sales]]*Table1_1[[#This Row],[Commission]])+Table1_1[[#This Row],[Total sales]]</f>
        <v>164.8</v>
      </c>
    </row>
    <row r="75" spans="1:9" x14ac:dyDescent="0.3">
      <c r="A75" s="1">
        <v>43288</v>
      </c>
      <c r="B75" t="s">
        <v>10</v>
      </c>
      <c r="C75" t="s">
        <v>11</v>
      </c>
      <c r="D75">
        <v>15</v>
      </c>
      <c r="E75">
        <v>40</v>
      </c>
      <c r="F75">
        <v>0.02</v>
      </c>
      <c r="G75" t="s">
        <v>15</v>
      </c>
      <c r="H75">
        <v>600</v>
      </c>
      <c r="I75">
        <f>(Table1_1[[#This Row],[Total sales]]*Table1_1[[#This Row],[Commission]])+Table1_1[[#This Row],[Total sales]]</f>
        <v>612</v>
      </c>
    </row>
    <row r="76" spans="1:9" x14ac:dyDescent="0.3">
      <c r="A76" s="1">
        <v>43288</v>
      </c>
      <c r="B76" t="s">
        <v>10</v>
      </c>
      <c r="C76" t="s">
        <v>16</v>
      </c>
      <c r="D76">
        <v>20</v>
      </c>
      <c r="E76">
        <v>40</v>
      </c>
      <c r="F76">
        <v>0.01</v>
      </c>
      <c r="G76" t="s">
        <v>17</v>
      </c>
      <c r="H76">
        <v>800</v>
      </c>
      <c r="I76">
        <f>(Table1_1[[#This Row],[Total sales]]*Table1_1[[#This Row],[Commission]])+Table1_1[[#This Row],[Total sales]]</f>
        <v>808</v>
      </c>
    </row>
    <row r="77" spans="1:9" x14ac:dyDescent="0.3">
      <c r="A77" s="1">
        <v>43288</v>
      </c>
      <c r="B77" t="s">
        <v>20</v>
      </c>
      <c r="C77" t="s">
        <v>21</v>
      </c>
      <c r="D77">
        <v>14</v>
      </c>
      <c r="E77">
        <v>16</v>
      </c>
      <c r="F77">
        <v>0.06</v>
      </c>
      <c r="G77" t="s">
        <v>19</v>
      </c>
      <c r="H77">
        <v>224</v>
      </c>
      <c r="I77">
        <f>(Table1_1[[#This Row],[Total sales]]*Table1_1[[#This Row],[Commission]])+Table1_1[[#This Row],[Total sales]]</f>
        <v>237.44</v>
      </c>
    </row>
    <row r="78" spans="1:9" x14ac:dyDescent="0.3">
      <c r="A78" s="1">
        <v>43289</v>
      </c>
      <c r="B78" t="s">
        <v>23</v>
      </c>
      <c r="C78" t="s">
        <v>16</v>
      </c>
      <c r="D78">
        <v>11</v>
      </c>
      <c r="E78">
        <v>150</v>
      </c>
      <c r="F78">
        <v>0.11</v>
      </c>
      <c r="G78" t="s">
        <v>22</v>
      </c>
      <c r="H78">
        <v>1650</v>
      </c>
      <c r="I78">
        <f>(Table1_1[[#This Row],[Total sales]]*Table1_1[[#This Row],[Commission]])+Table1_1[[#This Row],[Total sales]]</f>
        <v>1831.5</v>
      </c>
    </row>
    <row r="79" spans="1:9" x14ac:dyDescent="0.3">
      <c r="A79" s="1">
        <v>43289</v>
      </c>
      <c r="B79" t="s">
        <v>23</v>
      </c>
      <c r="C79" t="s">
        <v>16</v>
      </c>
      <c r="D79">
        <v>9</v>
      </c>
      <c r="E79">
        <v>150</v>
      </c>
      <c r="F79">
        <v>0.02</v>
      </c>
      <c r="G79" t="s">
        <v>24</v>
      </c>
      <c r="H79">
        <v>1350</v>
      </c>
      <c r="I79">
        <f>(Table1_1[[#This Row],[Total sales]]*Table1_1[[#This Row],[Commission]])+Table1_1[[#This Row],[Total sales]]</f>
        <v>1377</v>
      </c>
    </row>
    <row r="80" spans="1:9" x14ac:dyDescent="0.3">
      <c r="A80" s="1">
        <v>43289</v>
      </c>
      <c r="B80" t="s">
        <v>20</v>
      </c>
      <c r="C80" t="s">
        <v>21</v>
      </c>
      <c r="D80">
        <v>11</v>
      </c>
      <c r="E80">
        <v>16</v>
      </c>
      <c r="F80">
        <v>0.12</v>
      </c>
      <c r="G80" t="s">
        <v>25</v>
      </c>
      <c r="H80">
        <v>176</v>
      </c>
      <c r="I80">
        <f>(Table1_1[[#This Row],[Total sales]]*Table1_1[[#This Row],[Commission]])+Table1_1[[#This Row],[Total sales]]</f>
        <v>197.12</v>
      </c>
    </row>
    <row r="81" spans="1:9" x14ac:dyDescent="0.3">
      <c r="A81" s="1">
        <v>43289</v>
      </c>
      <c r="B81" t="s">
        <v>10</v>
      </c>
      <c r="C81" t="s">
        <v>16</v>
      </c>
      <c r="D81">
        <v>13</v>
      </c>
      <c r="E81">
        <v>40</v>
      </c>
      <c r="F81">
        <v>0.02</v>
      </c>
      <c r="G81" t="s">
        <v>26</v>
      </c>
      <c r="H81">
        <v>520</v>
      </c>
      <c r="I81">
        <f>(Table1_1[[#This Row],[Total sales]]*Table1_1[[#This Row],[Commission]])+Table1_1[[#This Row],[Total sales]]</f>
        <v>530.4</v>
      </c>
    </row>
    <row r="82" spans="1:9" x14ac:dyDescent="0.3">
      <c r="A82" s="1">
        <v>43289</v>
      </c>
      <c r="B82" t="s">
        <v>10</v>
      </c>
      <c r="C82" t="s">
        <v>16</v>
      </c>
      <c r="D82">
        <v>4</v>
      </c>
      <c r="E82">
        <v>40</v>
      </c>
      <c r="F82">
        <v>0.1</v>
      </c>
      <c r="G82" t="s">
        <v>27</v>
      </c>
      <c r="H82">
        <v>160</v>
      </c>
      <c r="I82">
        <f>(Table1_1[[#This Row],[Total sales]]*Table1_1[[#This Row],[Commission]])+Table1_1[[#This Row],[Total sales]]</f>
        <v>176</v>
      </c>
    </row>
    <row r="83" spans="1:9" x14ac:dyDescent="0.3">
      <c r="A83" s="1">
        <v>43289</v>
      </c>
      <c r="B83" t="s">
        <v>13</v>
      </c>
      <c r="C83" t="s">
        <v>8</v>
      </c>
      <c r="D83">
        <v>3</v>
      </c>
      <c r="E83">
        <v>230</v>
      </c>
      <c r="F83">
        <v>0.11</v>
      </c>
      <c r="G83" t="s">
        <v>28</v>
      </c>
      <c r="H83">
        <v>690</v>
      </c>
      <c r="I83">
        <f>(Table1_1[[#This Row],[Total sales]]*Table1_1[[#This Row],[Commission]])+Table1_1[[#This Row],[Total sales]]</f>
        <v>765.9</v>
      </c>
    </row>
    <row r="84" spans="1:9" x14ac:dyDescent="0.3">
      <c r="A84" s="1">
        <v>43289</v>
      </c>
      <c r="B84" t="s">
        <v>7</v>
      </c>
      <c r="C84" t="s">
        <v>16</v>
      </c>
      <c r="D84">
        <v>6</v>
      </c>
      <c r="E84">
        <v>80</v>
      </c>
      <c r="F84">
        <v>0.09</v>
      </c>
      <c r="G84" t="s">
        <v>9</v>
      </c>
      <c r="H84">
        <v>480</v>
      </c>
      <c r="I84">
        <f>(Table1_1[[#This Row],[Total sales]]*Table1_1[[#This Row],[Commission]])+Table1_1[[#This Row],[Total sales]]</f>
        <v>523.20000000000005</v>
      </c>
    </row>
    <row r="85" spans="1:9" x14ac:dyDescent="0.3">
      <c r="A85" s="1">
        <v>43289</v>
      </c>
      <c r="B85" t="s">
        <v>23</v>
      </c>
      <c r="C85" t="s">
        <v>8</v>
      </c>
      <c r="D85">
        <v>9</v>
      </c>
      <c r="E85">
        <v>150</v>
      </c>
      <c r="F85">
        <v>0.1</v>
      </c>
      <c r="G85" t="s">
        <v>12</v>
      </c>
      <c r="H85">
        <v>1350</v>
      </c>
      <c r="I85">
        <f>(Table1_1[[#This Row],[Total sales]]*Table1_1[[#This Row],[Commission]])+Table1_1[[#This Row],[Total sales]]</f>
        <v>1485</v>
      </c>
    </row>
    <row r="86" spans="1:9" x14ac:dyDescent="0.3">
      <c r="A86" s="1">
        <v>43289</v>
      </c>
      <c r="B86" t="s">
        <v>7</v>
      </c>
      <c r="C86" t="s">
        <v>11</v>
      </c>
      <c r="D86">
        <v>14</v>
      </c>
      <c r="E86">
        <v>80</v>
      </c>
      <c r="F86">
        <v>0.11</v>
      </c>
      <c r="G86" t="s">
        <v>14</v>
      </c>
      <c r="H86">
        <v>1120</v>
      </c>
      <c r="I86">
        <f>(Table1_1[[#This Row],[Total sales]]*Table1_1[[#This Row],[Commission]])+Table1_1[[#This Row],[Total sales]]</f>
        <v>1243.2</v>
      </c>
    </row>
    <row r="87" spans="1:9" x14ac:dyDescent="0.3">
      <c r="A87" s="1">
        <v>43289</v>
      </c>
      <c r="B87" t="s">
        <v>7</v>
      </c>
      <c r="C87" t="s">
        <v>8</v>
      </c>
      <c r="D87">
        <v>18</v>
      </c>
      <c r="E87">
        <v>80</v>
      </c>
      <c r="F87">
        <v>0.02</v>
      </c>
      <c r="G87" t="s">
        <v>15</v>
      </c>
      <c r="H87">
        <v>1440</v>
      </c>
      <c r="I87">
        <f>(Table1_1[[#This Row],[Total sales]]*Table1_1[[#This Row],[Commission]])+Table1_1[[#This Row],[Total sales]]</f>
        <v>1468.8</v>
      </c>
    </row>
    <row r="88" spans="1:9" x14ac:dyDescent="0.3">
      <c r="A88" s="1">
        <v>43289</v>
      </c>
      <c r="B88" t="s">
        <v>10</v>
      </c>
      <c r="C88" t="s">
        <v>8</v>
      </c>
      <c r="D88">
        <v>20</v>
      </c>
      <c r="E88">
        <v>40</v>
      </c>
      <c r="F88">
        <v>0.04</v>
      </c>
      <c r="G88" t="s">
        <v>17</v>
      </c>
      <c r="H88">
        <v>800</v>
      </c>
      <c r="I88">
        <f>(Table1_1[[#This Row],[Total sales]]*Table1_1[[#This Row],[Commission]])+Table1_1[[#This Row],[Total sales]]</f>
        <v>832</v>
      </c>
    </row>
    <row r="89" spans="1:9" x14ac:dyDescent="0.3">
      <c r="A89" s="1">
        <v>43290</v>
      </c>
      <c r="B89" t="s">
        <v>20</v>
      </c>
      <c r="C89" t="s">
        <v>16</v>
      </c>
      <c r="D89">
        <v>8</v>
      </c>
      <c r="E89">
        <v>16</v>
      </c>
      <c r="F89">
        <v>0.03</v>
      </c>
      <c r="G89" t="s">
        <v>19</v>
      </c>
      <c r="H89">
        <v>128</v>
      </c>
      <c r="I89">
        <f>(Table1_1[[#This Row],[Total sales]]*Table1_1[[#This Row],[Commission]])+Table1_1[[#This Row],[Total sales]]</f>
        <v>131.84</v>
      </c>
    </row>
    <row r="90" spans="1:9" x14ac:dyDescent="0.3">
      <c r="A90" s="1">
        <v>43290</v>
      </c>
      <c r="B90" t="s">
        <v>7</v>
      </c>
      <c r="C90" t="s">
        <v>11</v>
      </c>
      <c r="D90">
        <v>14</v>
      </c>
      <c r="E90">
        <v>80</v>
      </c>
      <c r="F90">
        <v>0.06</v>
      </c>
      <c r="G90" t="s">
        <v>22</v>
      </c>
      <c r="H90">
        <v>1120</v>
      </c>
      <c r="I90">
        <f>(Table1_1[[#This Row],[Total sales]]*Table1_1[[#This Row],[Commission]])+Table1_1[[#This Row],[Total sales]]</f>
        <v>1187.2</v>
      </c>
    </row>
    <row r="91" spans="1:9" x14ac:dyDescent="0.3">
      <c r="A91" s="1">
        <v>43290</v>
      </c>
      <c r="B91" t="s">
        <v>23</v>
      </c>
      <c r="C91" t="s">
        <v>8</v>
      </c>
      <c r="D91">
        <v>20</v>
      </c>
      <c r="E91">
        <v>150</v>
      </c>
      <c r="F91">
        <v>0.01</v>
      </c>
      <c r="G91" t="s">
        <v>24</v>
      </c>
      <c r="H91">
        <v>3000</v>
      </c>
      <c r="I91">
        <f>(Table1_1[[#This Row],[Total sales]]*Table1_1[[#This Row],[Commission]])+Table1_1[[#This Row],[Total sales]]</f>
        <v>3030</v>
      </c>
    </row>
    <row r="92" spans="1:9" x14ac:dyDescent="0.3">
      <c r="A92" s="1">
        <v>43290</v>
      </c>
      <c r="B92" t="s">
        <v>10</v>
      </c>
      <c r="C92" t="s">
        <v>18</v>
      </c>
      <c r="D92">
        <v>15</v>
      </c>
      <c r="E92">
        <v>40</v>
      </c>
      <c r="F92">
        <v>0.03</v>
      </c>
      <c r="G92" t="s">
        <v>25</v>
      </c>
      <c r="H92">
        <v>600</v>
      </c>
      <c r="I92">
        <f>(Table1_1[[#This Row],[Total sales]]*Table1_1[[#This Row],[Commission]])+Table1_1[[#This Row],[Total sales]]</f>
        <v>618</v>
      </c>
    </row>
    <row r="93" spans="1:9" x14ac:dyDescent="0.3">
      <c r="A93" s="1">
        <v>43290</v>
      </c>
      <c r="B93" t="s">
        <v>10</v>
      </c>
      <c r="C93" t="s">
        <v>11</v>
      </c>
      <c r="D93">
        <v>18</v>
      </c>
      <c r="E93">
        <v>40</v>
      </c>
      <c r="F93">
        <v>0.08</v>
      </c>
      <c r="G93" t="s">
        <v>26</v>
      </c>
      <c r="H93">
        <v>720</v>
      </c>
      <c r="I93">
        <f>(Table1_1[[#This Row],[Total sales]]*Table1_1[[#This Row],[Commission]])+Table1_1[[#This Row],[Total sales]]</f>
        <v>777.6</v>
      </c>
    </row>
    <row r="94" spans="1:9" x14ac:dyDescent="0.3">
      <c r="A94" s="1">
        <v>43290</v>
      </c>
      <c r="B94" t="s">
        <v>10</v>
      </c>
      <c r="C94" t="s">
        <v>21</v>
      </c>
      <c r="D94">
        <v>11</v>
      </c>
      <c r="E94">
        <v>40</v>
      </c>
      <c r="F94">
        <v>0.05</v>
      </c>
      <c r="G94" t="s">
        <v>27</v>
      </c>
      <c r="H94">
        <v>440</v>
      </c>
      <c r="I94">
        <f>(Table1_1[[#This Row],[Total sales]]*Table1_1[[#This Row],[Commission]])+Table1_1[[#This Row],[Total sales]]</f>
        <v>462</v>
      </c>
    </row>
    <row r="95" spans="1:9" x14ac:dyDescent="0.3">
      <c r="A95" s="1">
        <v>43291</v>
      </c>
      <c r="B95" t="s">
        <v>10</v>
      </c>
      <c r="C95" t="s">
        <v>21</v>
      </c>
      <c r="D95">
        <v>23</v>
      </c>
      <c r="E95">
        <v>40</v>
      </c>
      <c r="F95">
        <v>0.04</v>
      </c>
      <c r="G95" t="s">
        <v>28</v>
      </c>
      <c r="H95">
        <v>920</v>
      </c>
      <c r="I95">
        <f>(Table1_1[[#This Row],[Total sales]]*Table1_1[[#This Row],[Commission]])+Table1_1[[#This Row],[Total sales]]</f>
        <v>956.8</v>
      </c>
    </row>
    <row r="96" spans="1:9" x14ac:dyDescent="0.3">
      <c r="A96" s="1">
        <v>43291</v>
      </c>
      <c r="B96" t="s">
        <v>20</v>
      </c>
      <c r="C96" t="s">
        <v>21</v>
      </c>
      <c r="D96">
        <v>17</v>
      </c>
      <c r="E96">
        <v>16</v>
      </c>
      <c r="F96">
        <v>0.1</v>
      </c>
      <c r="G96" t="s">
        <v>9</v>
      </c>
      <c r="H96">
        <v>272</v>
      </c>
      <c r="I96">
        <f>(Table1_1[[#This Row],[Total sales]]*Table1_1[[#This Row],[Commission]])+Table1_1[[#This Row],[Total sales]]</f>
        <v>299.2</v>
      </c>
    </row>
    <row r="97" spans="1:9" x14ac:dyDescent="0.3">
      <c r="A97" s="1">
        <v>43291</v>
      </c>
      <c r="B97" t="s">
        <v>20</v>
      </c>
      <c r="C97" t="s">
        <v>11</v>
      </c>
      <c r="D97">
        <v>4</v>
      </c>
      <c r="E97">
        <v>16</v>
      </c>
      <c r="F97">
        <v>7.0000000000000007E-2</v>
      </c>
      <c r="G97" t="s">
        <v>12</v>
      </c>
      <c r="H97">
        <v>64</v>
      </c>
      <c r="I97">
        <f>(Table1_1[[#This Row],[Total sales]]*Table1_1[[#This Row],[Commission]])+Table1_1[[#This Row],[Total sales]]</f>
        <v>68.48</v>
      </c>
    </row>
    <row r="98" spans="1:9" x14ac:dyDescent="0.3">
      <c r="A98" s="1">
        <v>43291</v>
      </c>
      <c r="B98" t="s">
        <v>7</v>
      </c>
      <c r="C98" t="s">
        <v>16</v>
      </c>
      <c r="D98">
        <v>23</v>
      </c>
      <c r="E98">
        <v>80</v>
      </c>
      <c r="F98">
        <v>0.05</v>
      </c>
      <c r="G98" t="s">
        <v>14</v>
      </c>
      <c r="H98">
        <v>1840</v>
      </c>
      <c r="I98">
        <f>(Table1_1[[#This Row],[Total sales]]*Table1_1[[#This Row],[Commission]])+Table1_1[[#This Row],[Total sales]]</f>
        <v>1932</v>
      </c>
    </row>
    <row r="99" spans="1:9" x14ac:dyDescent="0.3">
      <c r="A99" s="1">
        <v>43291</v>
      </c>
      <c r="B99" t="s">
        <v>13</v>
      </c>
      <c r="C99" t="s">
        <v>16</v>
      </c>
      <c r="D99">
        <v>10</v>
      </c>
      <c r="E99">
        <v>230</v>
      </c>
      <c r="F99">
        <v>0.02</v>
      </c>
      <c r="G99" t="s">
        <v>15</v>
      </c>
      <c r="H99">
        <v>2300</v>
      </c>
      <c r="I99">
        <f>(Table1_1[[#This Row],[Total sales]]*Table1_1[[#This Row],[Commission]])+Table1_1[[#This Row],[Total sales]]</f>
        <v>2346</v>
      </c>
    </row>
    <row r="100" spans="1:9" x14ac:dyDescent="0.3">
      <c r="A100" s="1">
        <v>43291</v>
      </c>
      <c r="B100" t="s">
        <v>20</v>
      </c>
      <c r="C100" t="s">
        <v>16</v>
      </c>
      <c r="D100">
        <v>14</v>
      </c>
      <c r="E100">
        <v>16</v>
      </c>
      <c r="F100">
        <v>0.01</v>
      </c>
      <c r="G100" t="s">
        <v>17</v>
      </c>
      <c r="H100">
        <v>224</v>
      </c>
      <c r="I100">
        <f>(Table1_1[[#This Row],[Total sales]]*Table1_1[[#This Row],[Commission]])+Table1_1[[#This Row],[Total sales]]</f>
        <v>226.24</v>
      </c>
    </row>
    <row r="101" spans="1:9" x14ac:dyDescent="0.3">
      <c r="A101" s="1">
        <v>43291</v>
      </c>
      <c r="B101" t="s">
        <v>10</v>
      </c>
      <c r="C101" t="s">
        <v>11</v>
      </c>
      <c r="D101">
        <v>19</v>
      </c>
      <c r="E101">
        <v>40</v>
      </c>
      <c r="F101">
        <v>0.1</v>
      </c>
      <c r="G101" t="s">
        <v>19</v>
      </c>
      <c r="H101">
        <v>760</v>
      </c>
      <c r="I101">
        <f>(Table1_1[[#This Row],[Total sales]]*Table1_1[[#This Row],[Commission]])+Table1_1[[#This Row],[Total sales]]</f>
        <v>836</v>
      </c>
    </row>
    <row r="102" spans="1:9" x14ac:dyDescent="0.3">
      <c r="A102" s="1">
        <v>43291</v>
      </c>
      <c r="B102" t="s">
        <v>7</v>
      </c>
      <c r="C102" t="s">
        <v>21</v>
      </c>
      <c r="D102">
        <v>22</v>
      </c>
      <c r="E102">
        <v>80</v>
      </c>
      <c r="F102">
        <v>0.09</v>
      </c>
      <c r="G102" t="s">
        <v>22</v>
      </c>
      <c r="H102">
        <v>1760</v>
      </c>
      <c r="I102">
        <f>(Table1_1[[#This Row],[Total sales]]*Table1_1[[#This Row],[Commission]])+Table1_1[[#This Row],[Total sales]]</f>
        <v>1918.4</v>
      </c>
    </row>
    <row r="103" spans="1:9" x14ac:dyDescent="0.3">
      <c r="A103" s="1">
        <v>43291</v>
      </c>
      <c r="B103" t="s">
        <v>20</v>
      </c>
      <c r="C103" t="s">
        <v>8</v>
      </c>
      <c r="D103">
        <v>18</v>
      </c>
      <c r="E103">
        <v>16</v>
      </c>
      <c r="F103">
        <v>0.05</v>
      </c>
      <c r="G103" t="s">
        <v>24</v>
      </c>
      <c r="H103">
        <v>288</v>
      </c>
      <c r="I103">
        <f>(Table1_1[[#This Row],[Total sales]]*Table1_1[[#This Row],[Commission]])+Table1_1[[#This Row],[Total sales]]</f>
        <v>302.39999999999998</v>
      </c>
    </row>
    <row r="104" spans="1:9" x14ac:dyDescent="0.3">
      <c r="A104" s="1">
        <v>43291</v>
      </c>
      <c r="B104" t="s">
        <v>10</v>
      </c>
      <c r="C104" t="s">
        <v>8</v>
      </c>
      <c r="D104">
        <v>18</v>
      </c>
      <c r="E104">
        <v>40</v>
      </c>
      <c r="F104">
        <v>0.11</v>
      </c>
      <c r="G104" t="s">
        <v>25</v>
      </c>
      <c r="H104">
        <v>720</v>
      </c>
      <c r="I104">
        <f>(Table1_1[[#This Row],[Total sales]]*Table1_1[[#This Row],[Commission]])+Table1_1[[#This Row],[Total sales]]</f>
        <v>799.2</v>
      </c>
    </row>
    <row r="105" spans="1:9" x14ac:dyDescent="0.3">
      <c r="A105" s="1">
        <v>43291</v>
      </c>
      <c r="B105" t="s">
        <v>10</v>
      </c>
      <c r="C105" t="s">
        <v>21</v>
      </c>
      <c r="D105">
        <v>21</v>
      </c>
      <c r="E105">
        <v>40</v>
      </c>
      <c r="F105">
        <v>0.01</v>
      </c>
      <c r="G105" t="s">
        <v>26</v>
      </c>
      <c r="H105">
        <v>840</v>
      </c>
      <c r="I105">
        <f>(Table1_1[[#This Row],[Total sales]]*Table1_1[[#This Row],[Commission]])+Table1_1[[#This Row],[Total sales]]</f>
        <v>848.4</v>
      </c>
    </row>
    <row r="106" spans="1:9" x14ac:dyDescent="0.3">
      <c r="A106" s="1">
        <v>43291</v>
      </c>
      <c r="B106" t="s">
        <v>7</v>
      </c>
      <c r="C106" t="s">
        <v>8</v>
      </c>
      <c r="D106">
        <v>6</v>
      </c>
      <c r="E106">
        <v>80</v>
      </c>
      <c r="F106">
        <v>7.0000000000000007E-2</v>
      </c>
      <c r="G106" t="s">
        <v>27</v>
      </c>
      <c r="H106">
        <v>480</v>
      </c>
      <c r="I106">
        <f>(Table1_1[[#This Row],[Total sales]]*Table1_1[[#This Row],[Commission]])+Table1_1[[#This Row],[Total sales]]</f>
        <v>513.6</v>
      </c>
    </row>
    <row r="107" spans="1:9" x14ac:dyDescent="0.3">
      <c r="A107" s="1">
        <v>43291</v>
      </c>
      <c r="B107" t="s">
        <v>23</v>
      </c>
      <c r="C107" t="s">
        <v>21</v>
      </c>
      <c r="D107">
        <v>17</v>
      </c>
      <c r="E107">
        <v>150</v>
      </c>
      <c r="F107">
        <v>0.02</v>
      </c>
      <c r="G107" t="s">
        <v>28</v>
      </c>
      <c r="H107">
        <v>2550</v>
      </c>
      <c r="I107">
        <f>(Table1_1[[#This Row],[Total sales]]*Table1_1[[#This Row],[Commission]])+Table1_1[[#This Row],[Total sales]]</f>
        <v>2601</v>
      </c>
    </row>
    <row r="108" spans="1:9" x14ac:dyDescent="0.3">
      <c r="A108" s="1">
        <v>43291</v>
      </c>
      <c r="B108" t="s">
        <v>7</v>
      </c>
      <c r="C108" t="s">
        <v>16</v>
      </c>
      <c r="D108">
        <v>16</v>
      </c>
      <c r="E108">
        <v>80</v>
      </c>
      <c r="F108">
        <v>0.02</v>
      </c>
      <c r="G108" t="s">
        <v>9</v>
      </c>
      <c r="H108">
        <v>1280</v>
      </c>
      <c r="I108">
        <f>(Table1_1[[#This Row],[Total sales]]*Table1_1[[#This Row],[Commission]])+Table1_1[[#This Row],[Total sales]]</f>
        <v>1305.5999999999999</v>
      </c>
    </row>
    <row r="109" spans="1:9" x14ac:dyDescent="0.3">
      <c r="A109" s="1">
        <v>43291</v>
      </c>
      <c r="B109" t="s">
        <v>10</v>
      </c>
      <c r="C109" t="s">
        <v>11</v>
      </c>
      <c r="D109">
        <v>15</v>
      </c>
      <c r="E109">
        <v>40</v>
      </c>
      <c r="F109">
        <v>0.04</v>
      </c>
      <c r="G109" t="s">
        <v>12</v>
      </c>
      <c r="H109">
        <v>600</v>
      </c>
      <c r="I109">
        <f>(Table1_1[[#This Row],[Total sales]]*Table1_1[[#This Row],[Commission]])+Table1_1[[#This Row],[Total sales]]</f>
        <v>624</v>
      </c>
    </row>
    <row r="110" spans="1:9" x14ac:dyDescent="0.3">
      <c r="A110" s="1">
        <v>43291</v>
      </c>
      <c r="B110" t="s">
        <v>13</v>
      </c>
      <c r="C110" t="s">
        <v>18</v>
      </c>
      <c r="D110">
        <v>2</v>
      </c>
      <c r="E110">
        <v>230</v>
      </c>
      <c r="F110">
        <v>0.08</v>
      </c>
      <c r="G110" t="s">
        <v>14</v>
      </c>
      <c r="H110">
        <v>460</v>
      </c>
      <c r="I110">
        <f>(Table1_1[[#This Row],[Total sales]]*Table1_1[[#This Row],[Commission]])+Table1_1[[#This Row],[Total sales]]</f>
        <v>496.8</v>
      </c>
    </row>
    <row r="111" spans="1:9" x14ac:dyDescent="0.3">
      <c r="A111" s="1">
        <v>43291</v>
      </c>
      <c r="B111" t="s">
        <v>10</v>
      </c>
      <c r="C111" t="s">
        <v>21</v>
      </c>
      <c r="D111">
        <v>3</v>
      </c>
      <c r="E111">
        <v>40</v>
      </c>
      <c r="F111">
        <v>0.03</v>
      </c>
      <c r="G111" t="s">
        <v>15</v>
      </c>
      <c r="H111">
        <v>120</v>
      </c>
      <c r="I111">
        <f>(Table1_1[[#This Row],[Total sales]]*Table1_1[[#This Row],[Commission]])+Table1_1[[#This Row],[Total sales]]</f>
        <v>123.6</v>
      </c>
    </row>
    <row r="112" spans="1:9" x14ac:dyDescent="0.3">
      <c r="A112" s="1">
        <v>43291</v>
      </c>
      <c r="B112" t="s">
        <v>13</v>
      </c>
      <c r="C112" t="s">
        <v>21</v>
      </c>
      <c r="D112">
        <v>21</v>
      </c>
      <c r="E112">
        <v>230</v>
      </c>
      <c r="F112">
        <v>0.05</v>
      </c>
      <c r="G112" t="s">
        <v>17</v>
      </c>
      <c r="H112">
        <v>4830</v>
      </c>
      <c r="I112">
        <f>(Table1_1[[#This Row],[Total sales]]*Table1_1[[#This Row],[Commission]])+Table1_1[[#This Row],[Total sales]]</f>
        <v>5071.5</v>
      </c>
    </row>
    <row r="113" spans="1:9" x14ac:dyDescent="0.3">
      <c r="A113" s="1">
        <v>43291</v>
      </c>
      <c r="B113" t="s">
        <v>23</v>
      </c>
      <c r="C113" t="s">
        <v>8</v>
      </c>
      <c r="D113">
        <v>11</v>
      </c>
      <c r="E113">
        <v>150</v>
      </c>
      <c r="F113">
        <v>0.05</v>
      </c>
      <c r="G113" t="s">
        <v>19</v>
      </c>
      <c r="H113">
        <v>1650</v>
      </c>
      <c r="I113">
        <f>(Table1_1[[#This Row],[Total sales]]*Table1_1[[#This Row],[Commission]])+Table1_1[[#This Row],[Total sales]]</f>
        <v>1732.5</v>
      </c>
    </row>
    <row r="114" spans="1:9" x14ac:dyDescent="0.3">
      <c r="A114" s="1">
        <v>43292</v>
      </c>
      <c r="B114" t="s">
        <v>23</v>
      </c>
      <c r="C114" t="s">
        <v>11</v>
      </c>
      <c r="D114">
        <v>15</v>
      </c>
      <c r="E114">
        <v>150</v>
      </c>
      <c r="F114">
        <v>0.02</v>
      </c>
      <c r="G114" t="s">
        <v>22</v>
      </c>
      <c r="H114">
        <v>2250</v>
      </c>
      <c r="I114">
        <f>(Table1_1[[#This Row],[Total sales]]*Table1_1[[#This Row],[Commission]])+Table1_1[[#This Row],[Total sales]]</f>
        <v>2295</v>
      </c>
    </row>
    <row r="115" spans="1:9" x14ac:dyDescent="0.3">
      <c r="A115" s="1">
        <v>43292</v>
      </c>
      <c r="B115" t="s">
        <v>7</v>
      </c>
      <c r="C115" t="s">
        <v>18</v>
      </c>
      <c r="D115">
        <v>16</v>
      </c>
      <c r="E115">
        <v>80</v>
      </c>
      <c r="F115">
        <v>0.1</v>
      </c>
      <c r="G115" t="s">
        <v>24</v>
      </c>
      <c r="H115">
        <v>1280</v>
      </c>
      <c r="I115">
        <f>(Table1_1[[#This Row],[Total sales]]*Table1_1[[#This Row],[Commission]])+Table1_1[[#This Row],[Total sales]]</f>
        <v>1408</v>
      </c>
    </row>
    <row r="116" spans="1:9" x14ac:dyDescent="0.3">
      <c r="A116" s="1">
        <v>43292</v>
      </c>
      <c r="B116" t="s">
        <v>13</v>
      </c>
      <c r="C116" t="s">
        <v>21</v>
      </c>
      <c r="D116">
        <v>17</v>
      </c>
      <c r="E116">
        <v>230</v>
      </c>
      <c r="F116">
        <v>0.11</v>
      </c>
      <c r="G116" t="s">
        <v>25</v>
      </c>
      <c r="H116">
        <v>3910</v>
      </c>
      <c r="I116">
        <f>(Table1_1[[#This Row],[Total sales]]*Table1_1[[#This Row],[Commission]])+Table1_1[[#This Row],[Total sales]]</f>
        <v>4340.1000000000004</v>
      </c>
    </row>
    <row r="117" spans="1:9" x14ac:dyDescent="0.3">
      <c r="A117" s="1">
        <v>43292</v>
      </c>
      <c r="B117" t="s">
        <v>10</v>
      </c>
      <c r="C117" t="s">
        <v>21</v>
      </c>
      <c r="D117">
        <v>16</v>
      </c>
      <c r="E117">
        <v>40</v>
      </c>
      <c r="F117">
        <v>0.11</v>
      </c>
      <c r="G117" t="s">
        <v>26</v>
      </c>
      <c r="H117">
        <v>640</v>
      </c>
      <c r="I117">
        <f>(Table1_1[[#This Row],[Total sales]]*Table1_1[[#This Row],[Commission]])+Table1_1[[#This Row],[Total sales]]</f>
        <v>710.4</v>
      </c>
    </row>
    <row r="118" spans="1:9" x14ac:dyDescent="0.3">
      <c r="A118" s="1">
        <v>43292</v>
      </c>
      <c r="B118" t="s">
        <v>7</v>
      </c>
      <c r="C118" t="s">
        <v>18</v>
      </c>
      <c r="D118">
        <v>2</v>
      </c>
      <c r="E118">
        <v>80</v>
      </c>
      <c r="F118">
        <v>0.08</v>
      </c>
      <c r="G118" t="s">
        <v>27</v>
      </c>
      <c r="H118">
        <v>160</v>
      </c>
      <c r="I118">
        <f>(Table1_1[[#This Row],[Total sales]]*Table1_1[[#This Row],[Commission]])+Table1_1[[#This Row],[Total sales]]</f>
        <v>172.8</v>
      </c>
    </row>
    <row r="119" spans="1:9" x14ac:dyDescent="0.3">
      <c r="A119" s="1">
        <v>43292</v>
      </c>
      <c r="B119" t="s">
        <v>23</v>
      </c>
      <c r="C119" t="s">
        <v>11</v>
      </c>
      <c r="D119">
        <v>22</v>
      </c>
      <c r="E119">
        <v>150</v>
      </c>
      <c r="F119">
        <v>0.02</v>
      </c>
      <c r="G119" t="s">
        <v>28</v>
      </c>
      <c r="H119">
        <v>3300</v>
      </c>
      <c r="I119">
        <f>(Table1_1[[#This Row],[Total sales]]*Table1_1[[#This Row],[Commission]])+Table1_1[[#This Row],[Total sales]]</f>
        <v>3366</v>
      </c>
    </row>
    <row r="120" spans="1:9" x14ac:dyDescent="0.3">
      <c r="A120" s="1">
        <v>43292</v>
      </c>
      <c r="B120" t="s">
        <v>7</v>
      </c>
      <c r="C120" t="s">
        <v>8</v>
      </c>
      <c r="D120">
        <v>16</v>
      </c>
      <c r="E120">
        <v>80</v>
      </c>
      <c r="F120">
        <v>0.03</v>
      </c>
      <c r="G120" t="s">
        <v>9</v>
      </c>
      <c r="H120">
        <v>1280</v>
      </c>
      <c r="I120">
        <f>(Table1_1[[#This Row],[Total sales]]*Table1_1[[#This Row],[Commission]])+Table1_1[[#This Row],[Total sales]]</f>
        <v>1318.4</v>
      </c>
    </row>
    <row r="121" spans="1:9" x14ac:dyDescent="0.3">
      <c r="A121" s="1">
        <v>43293</v>
      </c>
      <c r="B121" t="s">
        <v>20</v>
      </c>
      <c r="C121" t="s">
        <v>8</v>
      </c>
      <c r="D121">
        <v>20</v>
      </c>
      <c r="E121">
        <v>16</v>
      </c>
      <c r="F121">
        <v>0.11</v>
      </c>
      <c r="G121" t="s">
        <v>12</v>
      </c>
      <c r="H121">
        <v>320</v>
      </c>
      <c r="I121">
        <f>(Table1_1[[#This Row],[Total sales]]*Table1_1[[#This Row],[Commission]])+Table1_1[[#This Row],[Total sales]]</f>
        <v>355.2</v>
      </c>
    </row>
    <row r="122" spans="1:9" x14ac:dyDescent="0.3">
      <c r="A122" s="1">
        <v>43293</v>
      </c>
      <c r="B122" t="s">
        <v>7</v>
      </c>
      <c r="C122" t="s">
        <v>21</v>
      </c>
      <c r="D122">
        <v>9</v>
      </c>
      <c r="E122">
        <v>80</v>
      </c>
      <c r="F122">
        <v>7.0000000000000007E-2</v>
      </c>
      <c r="G122" t="s">
        <v>14</v>
      </c>
      <c r="H122">
        <v>720</v>
      </c>
      <c r="I122">
        <f>(Table1_1[[#This Row],[Total sales]]*Table1_1[[#This Row],[Commission]])+Table1_1[[#This Row],[Total sales]]</f>
        <v>770.4</v>
      </c>
    </row>
    <row r="123" spans="1:9" x14ac:dyDescent="0.3">
      <c r="A123" s="1">
        <v>43293</v>
      </c>
      <c r="B123" t="s">
        <v>13</v>
      </c>
      <c r="C123" t="s">
        <v>21</v>
      </c>
      <c r="D123">
        <v>5</v>
      </c>
      <c r="E123">
        <v>230</v>
      </c>
      <c r="F123">
        <v>0.12</v>
      </c>
      <c r="G123" t="s">
        <v>15</v>
      </c>
      <c r="H123">
        <v>1150</v>
      </c>
      <c r="I123">
        <f>(Table1_1[[#This Row],[Total sales]]*Table1_1[[#This Row],[Commission]])+Table1_1[[#This Row],[Total sales]]</f>
        <v>1288</v>
      </c>
    </row>
    <row r="124" spans="1:9" x14ac:dyDescent="0.3">
      <c r="A124" s="1">
        <v>43293</v>
      </c>
      <c r="B124" t="s">
        <v>20</v>
      </c>
      <c r="C124" t="s">
        <v>8</v>
      </c>
      <c r="D124">
        <v>20</v>
      </c>
      <c r="E124">
        <v>16</v>
      </c>
      <c r="F124">
        <v>0.01</v>
      </c>
      <c r="G124" t="s">
        <v>17</v>
      </c>
      <c r="H124">
        <v>320</v>
      </c>
      <c r="I124">
        <f>(Table1_1[[#This Row],[Total sales]]*Table1_1[[#This Row],[Commission]])+Table1_1[[#This Row],[Total sales]]</f>
        <v>323.2</v>
      </c>
    </row>
    <row r="125" spans="1:9" x14ac:dyDescent="0.3">
      <c r="A125" s="1">
        <v>43293</v>
      </c>
      <c r="B125" t="s">
        <v>20</v>
      </c>
      <c r="C125" t="s">
        <v>8</v>
      </c>
      <c r="D125">
        <v>16</v>
      </c>
      <c r="E125">
        <v>16</v>
      </c>
      <c r="F125">
        <v>0.03</v>
      </c>
      <c r="G125" t="s">
        <v>19</v>
      </c>
      <c r="H125">
        <v>256</v>
      </c>
      <c r="I125">
        <f>(Table1_1[[#This Row],[Total sales]]*Table1_1[[#This Row],[Commission]])+Table1_1[[#This Row],[Total sales]]</f>
        <v>263.68</v>
      </c>
    </row>
    <row r="126" spans="1:9" x14ac:dyDescent="0.3">
      <c r="A126" s="1">
        <v>43293</v>
      </c>
      <c r="B126" t="s">
        <v>23</v>
      </c>
      <c r="C126" t="s">
        <v>18</v>
      </c>
      <c r="D126">
        <v>15</v>
      </c>
      <c r="E126">
        <v>150</v>
      </c>
      <c r="F126">
        <v>0.05</v>
      </c>
      <c r="G126" t="s">
        <v>22</v>
      </c>
      <c r="H126">
        <v>2250</v>
      </c>
      <c r="I126">
        <f>(Table1_1[[#This Row],[Total sales]]*Table1_1[[#This Row],[Commission]])+Table1_1[[#This Row],[Total sales]]</f>
        <v>2362.5</v>
      </c>
    </row>
    <row r="127" spans="1:9" x14ac:dyDescent="0.3">
      <c r="A127" s="1">
        <v>43293</v>
      </c>
      <c r="B127" t="s">
        <v>13</v>
      </c>
      <c r="C127" t="s">
        <v>11</v>
      </c>
      <c r="D127">
        <v>19</v>
      </c>
      <c r="E127">
        <v>230</v>
      </c>
      <c r="F127">
        <v>0.11</v>
      </c>
      <c r="G127" t="s">
        <v>24</v>
      </c>
      <c r="H127">
        <v>4370</v>
      </c>
      <c r="I127">
        <f>(Table1_1[[#This Row],[Total sales]]*Table1_1[[#This Row],[Commission]])+Table1_1[[#This Row],[Total sales]]</f>
        <v>4850.7</v>
      </c>
    </row>
    <row r="128" spans="1:9" x14ac:dyDescent="0.3">
      <c r="A128" s="1">
        <v>43294</v>
      </c>
      <c r="B128" t="s">
        <v>23</v>
      </c>
      <c r="C128" t="s">
        <v>16</v>
      </c>
      <c r="D128">
        <v>2</v>
      </c>
      <c r="E128">
        <v>150</v>
      </c>
      <c r="F128">
        <v>0.02</v>
      </c>
      <c r="G128" t="s">
        <v>25</v>
      </c>
      <c r="H128">
        <v>300</v>
      </c>
      <c r="I128">
        <f>(Table1_1[[#This Row],[Total sales]]*Table1_1[[#This Row],[Commission]])+Table1_1[[#This Row],[Total sales]]</f>
        <v>306</v>
      </c>
    </row>
    <row r="129" spans="1:9" x14ac:dyDescent="0.3">
      <c r="A129" s="1">
        <v>43294</v>
      </c>
      <c r="B129" t="s">
        <v>7</v>
      </c>
      <c r="C129" t="s">
        <v>21</v>
      </c>
      <c r="D129">
        <v>16</v>
      </c>
      <c r="E129">
        <v>80</v>
      </c>
      <c r="F129">
        <v>0.05</v>
      </c>
      <c r="G129" t="s">
        <v>26</v>
      </c>
      <c r="H129">
        <v>1280</v>
      </c>
      <c r="I129">
        <f>(Table1_1[[#This Row],[Total sales]]*Table1_1[[#This Row],[Commission]])+Table1_1[[#This Row],[Total sales]]</f>
        <v>1344</v>
      </c>
    </row>
    <row r="130" spans="1:9" x14ac:dyDescent="0.3">
      <c r="A130" s="1">
        <v>43294</v>
      </c>
      <c r="B130" t="s">
        <v>10</v>
      </c>
      <c r="C130" t="s">
        <v>16</v>
      </c>
      <c r="D130">
        <v>2</v>
      </c>
      <c r="E130">
        <v>40</v>
      </c>
      <c r="F130">
        <v>0.03</v>
      </c>
      <c r="G130" t="s">
        <v>27</v>
      </c>
      <c r="H130">
        <v>80</v>
      </c>
      <c r="I130">
        <f>(Table1_1[[#This Row],[Total sales]]*Table1_1[[#This Row],[Commission]])+Table1_1[[#This Row],[Total sales]]</f>
        <v>82.4</v>
      </c>
    </row>
    <row r="131" spans="1:9" x14ac:dyDescent="0.3">
      <c r="A131" s="1">
        <v>43294</v>
      </c>
      <c r="B131" t="s">
        <v>7</v>
      </c>
      <c r="C131" t="s">
        <v>11</v>
      </c>
      <c r="D131">
        <v>5</v>
      </c>
      <c r="E131">
        <v>80</v>
      </c>
      <c r="F131">
        <v>0.04</v>
      </c>
      <c r="G131" t="s">
        <v>28</v>
      </c>
      <c r="H131">
        <v>400</v>
      </c>
      <c r="I131">
        <f>(Table1_1[[#This Row],[Total sales]]*Table1_1[[#This Row],[Commission]])+Table1_1[[#This Row],[Total sales]]</f>
        <v>416</v>
      </c>
    </row>
    <row r="132" spans="1:9" x14ac:dyDescent="0.3">
      <c r="A132" s="1">
        <v>43294</v>
      </c>
      <c r="B132" t="s">
        <v>13</v>
      </c>
      <c r="C132" t="s">
        <v>18</v>
      </c>
      <c r="D132">
        <v>17</v>
      </c>
      <c r="E132">
        <v>230</v>
      </c>
      <c r="F132">
        <v>0.12</v>
      </c>
      <c r="G132" t="s">
        <v>9</v>
      </c>
      <c r="H132">
        <v>3910</v>
      </c>
      <c r="I132">
        <f>(Table1_1[[#This Row],[Total sales]]*Table1_1[[#This Row],[Commission]])+Table1_1[[#This Row],[Total sales]]</f>
        <v>4379.2</v>
      </c>
    </row>
    <row r="133" spans="1:9" x14ac:dyDescent="0.3">
      <c r="A133" s="1">
        <v>43294</v>
      </c>
      <c r="B133" t="s">
        <v>7</v>
      </c>
      <c r="C133" t="s">
        <v>8</v>
      </c>
      <c r="D133">
        <v>8</v>
      </c>
      <c r="E133">
        <v>80</v>
      </c>
      <c r="F133">
        <v>0.08</v>
      </c>
      <c r="G133" t="s">
        <v>12</v>
      </c>
      <c r="H133">
        <v>640</v>
      </c>
      <c r="I133">
        <f>(Table1_1[[#This Row],[Total sales]]*Table1_1[[#This Row],[Commission]])+Table1_1[[#This Row],[Total sales]]</f>
        <v>691.2</v>
      </c>
    </row>
    <row r="134" spans="1:9" x14ac:dyDescent="0.3">
      <c r="A134" s="1">
        <v>43294</v>
      </c>
      <c r="B134" t="s">
        <v>10</v>
      </c>
      <c r="C134" t="s">
        <v>11</v>
      </c>
      <c r="D134">
        <v>4</v>
      </c>
      <c r="E134">
        <v>40</v>
      </c>
      <c r="F134">
        <v>0.06</v>
      </c>
      <c r="G134" t="s">
        <v>14</v>
      </c>
      <c r="H134">
        <v>160</v>
      </c>
      <c r="I134">
        <f>(Table1_1[[#This Row],[Total sales]]*Table1_1[[#This Row],[Commission]])+Table1_1[[#This Row],[Total sales]]</f>
        <v>169.6</v>
      </c>
    </row>
    <row r="135" spans="1:9" x14ac:dyDescent="0.3">
      <c r="A135" s="1">
        <v>43294</v>
      </c>
      <c r="B135" t="s">
        <v>20</v>
      </c>
      <c r="C135" t="s">
        <v>16</v>
      </c>
      <c r="D135">
        <v>17</v>
      </c>
      <c r="E135">
        <v>16</v>
      </c>
      <c r="F135">
        <v>0.05</v>
      </c>
      <c r="G135" t="s">
        <v>15</v>
      </c>
      <c r="H135">
        <v>272</v>
      </c>
      <c r="I135">
        <f>(Table1_1[[#This Row],[Total sales]]*Table1_1[[#This Row],[Commission]])+Table1_1[[#This Row],[Total sales]]</f>
        <v>285.60000000000002</v>
      </c>
    </row>
    <row r="136" spans="1:9" x14ac:dyDescent="0.3">
      <c r="A136" s="1">
        <v>43294</v>
      </c>
      <c r="B136" t="s">
        <v>13</v>
      </c>
      <c r="C136" t="s">
        <v>18</v>
      </c>
      <c r="D136">
        <v>8</v>
      </c>
      <c r="E136">
        <v>230</v>
      </c>
      <c r="F136">
        <v>0.01</v>
      </c>
      <c r="G136" t="s">
        <v>17</v>
      </c>
      <c r="H136">
        <v>1840</v>
      </c>
      <c r="I136">
        <f>(Table1_1[[#This Row],[Total sales]]*Table1_1[[#This Row],[Commission]])+Table1_1[[#This Row],[Total sales]]</f>
        <v>1858.4</v>
      </c>
    </row>
    <row r="137" spans="1:9" x14ac:dyDescent="0.3">
      <c r="A137" s="1">
        <v>43294</v>
      </c>
      <c r="B137" t="s">
        <v>20</v>
      </c>
      <c r="C137" t="s">
        <v>21</v>
      </c>
      <c r="D137">
        <v>19</v>
      </c>
      <c r="E137">
        <v>16</v>
      </c>
      <c r="F137">
        <v>0.02</v>
      </c>
      <c r="G137" t="s">
        <v>19</v>
      </c>
      <c r="H137">
        <v>304</v>
      </c>
      <c r="I137">
        <f>(Table1_1[[#This Row],[Total sales]]*Table1_1[[#This Row],[Commission]])+Table1_1[[#This Row],[Total sales]]</f>
        <v>310.08</v>
      </c>
    </row>
    <row r="138" spans="1:9" x14ac:dyDescent="0.3">
      <c r="A138" s="1">
        <v>43295</v>
      </c>
      <c r="B138" t="s">
        <v>10</v>
      </c>
      <c r="C138" t="s">
        <v>8</v>
      </c>
      <c r="D138">
        <v>18</v>
      </c>
      <c r="E138">
        <v>40</v>
      </c>
      <c r="F138">
        <v>0.06</v>
      </c>
      <c r="G138" t="s">
        <v>22</v>
      </c>
      <c r="H138">
        <v>720</v>
      </c>
      <c r="I138">
        <f>(Table1_1[[#This Row],[Total sales]]*Table1_1[[#This Row],[Commission]])+Table1_1[[#This Row],[Total sales]]</f>
        <v>763.2</v>
      </c>
    </row>
    <row r="139" spans="1:9" x14ac:dyDescent="0.3">
      <c r="A139" s="1">
        <v>43295</v>
      </c>
      <c r="B139" t="s">
        <v>23</v>
      </c>
      <c r="C139" t="s">
        <v>21</v>
      </c>
      <c r="D139">
        <v>23</v>
      </c>
      <c r="E139">
        <v>150</v>
      </c>
      <c r="F139">
        <v>0.08</v>
      </c>
      <c r="G139" t="s">
        <v>24</v>
      </c>
      <c r="H139">
        <v>3450</v>
      </c>
      <c r="I139">
        <f>(Table1_1[[#This Row],[Total sales]]*Table1_1[[#This Row],[Commission]])+Table1_1[[#This Row],[Total sales]]</f>
        <v>3726</v>
      </c>
    </row>
    <row r="140" spans="1:9" x14ac:dyDescent="0.3">
      <c r="A140" s="1">
        <v>43295</v>
      </c>
      <c r="B140" t="s">
        <v>13</v>
      </c>
      <c r="C140" t="s">
        <v>8</v>
      </c>
      <c r="D140">
        <v>5</v>
      </c>
      <c r="E140">
        <v>230</v>
      </c>
      <c r="F140">
        <v>0.1</v>
      </c>
      <c r="G140" t="s">
        <v>25</v>
      </c>
      <c r="H140">
        <v>1150</v>
      </c>
      <c r="I140">
        <f>(Table1_1[[#This Row],[Total sales]]*Table1_1[[#This Row],[Commission]])+Table1_1[[#This Row],[Total sales]]</f>
        <v>1265</v>
      </c>
    </row>
    <row r="141" spans="1:9" x14ac:dyDescent="0.3">
      <c r="A141" s="1">
        <v>43295</v>
      </c>
      <c r="B141" t="s">
        <v>7</v>
      </c>
      <c r="C141" t="s">
        <v>18</v>
      </c>
      <c r="D141">
        <v>21</v>
      </c>
      <c r="E141">
        <v>80</v>
      </c>
      <c r="F141">
        <v>0.02</v>
      </c>
      <c r="G141" t="s">
        <v>26</v>
      </c>
      <c r="H141">
        <v>1680</v>
      </c>
      <c r="I141">
        <f>(Table1_1[[#This Row],[Total sales]]*Table1_1[[#This Row],[Commission]])+Table1_1[[#This Row],[Total sales]]</f>
        <v>1713.6</v>
      </c>
    </row>
    <row r="142" spans="1:9" x14ac:dyDescent="0.3">
      <c r="A142" s="1">
        <v>43295</v>
      </c>
      <c r="B142" t="s">
        <v>20</v>
      </c>
      <c r="C142" t="s">
        <v>16</v>
      </c>
      <c r="D142">
        <v>6</v>
      </c>
      <c r="E142">
        <v>16</v>
      </c>
      <c r="F142">
        <v>7.0000000000000007E-2</v>
      </c>
      <c r="G142" t="s">
        <v>9</v>
      </c>
      <c r="H142">
        <v>96</v>
      </c>
      <c r="I142">
        <f>(Table1_1[[#This Row],[Total sales]]*Table1_1[[#This Row],[Commission]])+Table1_1[[#This Row],[Total sales]]</f>
        <v>102.72</v>
      </c>
    </row>
    <row r="143" spans="1:9" x14ac:dyDescent="0.3">
      <c r="A143" s="1">
        <v>43295</v>
      </c>
      <c r="B143" t="s">
        <v>10</v>
      </c>
      <c r="C143" t="s">
        <v>8</v>
      </c>
      <c r="D143">
        <v>9</v>
      </c>
      <c r="E143">
        <v>40</v>
      </c>
      <c r="F143">
        <v>0.01</v>
      </c>
      <c r="G143" t="s">
        <v>12</v>
      </c>
      <c r="H143">
        <v>360</v>
      </c>
      <c r="I143">
        <f>(Table1_1[[#This Row],[Total sales]]*Table1_1[[#This Row],[Commission]])+Table1_1[[#This Row],[Total sales]]</f>
        <v>363.6</v>
      </c>
    </row>
    <row r="144" spans="1:9" x14ac:dyDescent="0.3">
      <c r="A144" s="1">
        <v>43295</v>
      </c>
      <c r="B144" t="s">
        <v>13</v>
      </c>
      <c r="C144" t="s">
        <v>11</v>
      </c>
      <c r="D144">
        <v>9</v>
      </c>
      <c r="E144">
        <v>230</v>
      </c>
      <c r="F144">
        <v>0.03</v>
      </c>
      <c r="G144" t="s">
        <v>14</v>
      </c>
      <c r="H144">
        <v>2070</v>
      </c>
      <c r="I144">
        <f>(Table1_1[[#This Row],[Total sales]]*Table1_1[[#This Row],[Commission]])+Table1_1[[#This Row],[Total sales]]</f>
        <v>2132.1</v>
      </c>
    </row>
    <row r="145" spans="1:9" x14ac:dyDescent="0.3">
      <c r="A145" s="1">
        <v>43295</v>
      </c>
      <c r="B145" t="s">
        <v>13</v>
      </c>
      <c r="C145" t="s">
        <v>16</v>
      </c>
      <c r="D145">
        <v>5</v>
      </c>
      <c r="E145">
        <v>230</v>
      </c>
      <c r="F145">
        <v>0.1</v>
      </c>
      <c r="G145" t="s">
        <v>15</v>
      </c>
      <c r="H145">
        <v>1150</v>
      </c>
      <c r="I145">
        <f>(Table1_1[[#This Row],[Total sales]]*Table1_1[[#This Row],[Commission]])+Table1_1[[#This Row],[Total sales]]</f>
        <v>1265</v>
      </c>
    </row>
    <row r="146" spans="1:9" x14ac:dyDescent="0.3">
      <c r="A146" s="1">
        <v>43295</v>
      </c>
      <c r="B146" t="s">
        <v>10</v>
      </c>
      <c r="C146" t="s">
        <v>18</v>
      </c>
      <c r="D146">
        <v>7</v>
      </c>
      <c r="E146">
        <v>40</v>
      </c>
      <c r="F146">
        <v>0.11</v>
      </c>
      <c r="G146" t="s">
        <v>17</v>
      </c>
      <c r="H146">
        <v>280</v>
      </c>
      <c r="I146">
        <f>(Table1_1[[#This Row],[Total sales]]*Table1_1[[#This Row],[Commission]])+Table1_1[[#This Row],[Total sales]]</f>
        <v>310.8</v>
      </c>
    </row>
    <row r="147" spans="1:9" x14ac:dyDescent="0.3">
      <c r="A147" s="1">
        <v>43295</v>
      </c>
      <c r="B147" t="s">
        <v>13</v>
      </c>
      <c r="C147" t="s">
        <v>8</v>
      </c>
      <c r="D147">
        <v>20</v>
      </c>
      <c r="E147">
        <v>230</v>
      </c>
      <c r="F147">
        <v>0.04</v>
      </c>
      <c r="G147" t="s">
        <v>19</v>
      </c>
      <c r="H147">
        <v>4600</v>
      </c>
      <c r="I147">
        <f>(Table1_1[[#This Row],[Total sales]]*Table1_1[[#This Row],[Commission]])+Table1_1[[#This Row],[Total sales]]</f>
        <v>4784</v>
      </c>
    </row>
    <row r="148" spans="1:9" x14ac:dyDescent="0.3">
      <c r="A148" s="1">
        <v>43295</v>
      </c>
      <c r="B148" t="s">
        <v>23</v>
      </c>
      <c r="C148" t="s">
        <v>8</v>
      </c>
      <c r="D148">
        <v>22</v>
      </c>
      <c r="E148">
        <v>150</v>
      </c>
      <c r="F148">
        <v>7.0000000000000007E-2</v>
      </c>
      <c r="G148" t="s">
        <v>22</v>
      </c>
      <c r="H148">
        <v>3300</v>
      </c>
      <c r="I148">
        <f>(Table1_1[[#This Row],[Total sales]]*Table1_1[[#This Row],[Commission]])+Table1_1[[#This Row],[Total sales]]</f>
        <v>3531</v>
      </c>
    </row>
    <row r="149" spans="1:9" x14ac:dyDescent="0.3">
      <c r="A149" s="1">
        <v>43296</v>
      </c>
      <c r="B149" t="s">
        <v>13</v>
      </c>
      <c r="C149" t="s">
        <v>16</v>
      </c>
      <c r="D149">
        <v>6</v>
      </c>
      <c r="E149">
        <v>230</v>
      </c>
      <c r="F149">
        <v>0.05</v>
      </c>
      <c r="G149" t="s">
        <v>24</v>
      </c>
      <c r="H149">
        <v>1380</v>
      </c>
      <c r="I149">
        <f>(Table1_1[[#This Row],[Total sales]]*Table1_1[[#This Row],[Commission]])+Table1_1[[#This Row],[Total sales]]</f>
        <v>1449</v>
      </c>
    </row>
    <row r="150" spans="1:9" x14ac:dyDescent="0.3">
      <c r="A150" s="1">
        <v>43296</v>
      </c>
      <c r="B150" t="s">
        <v>13</v>
      </c>
      <c r="C150" t="s">
        <v>16</v>
      </c>
      <c r="D150">
        <v>15</v>
      </c>
      <c r="E150">
        <v>230</v>
      </c>
      <c r="F150">
        <v>0.11</v>
      </c>
      <c r="G150" t="s">
        <v>25</v>
      </c>
      <c r="H150">
        <v>3450</v>
      </c>
      <c r="I150">
        <f>(Table1_1[[#This Row],[Total sales]]*Table1_1[[#This Row],[Commission]])+Table1_1[[#This Row],[Total sales]]</f>
        <v>3829.5</v>
      </c>
    </row>
    <row r="151" spans="1:9" x14ac:dyDescent="0.3">
      <c r="A151" s="1">
        <v>43296</v>
      </c>
      <c r="B151" t="s">
        <v>10</v>
      </c>
      <c r="C151" t="s">
        <v>11</v>
      </c>
      <c r="D151">
        <v>8</v>
      </c>
      <c r="E151">
        <v>40</v>
      </c>
      <c r="F151">
        <v>0.09</v>
      </c>
      <c r="G151" t="s">
        <v>26</v>
      </c>
      <c r="H151">
        <v>320</v>
      </c>
      <c r="I151">
        <f>(Table1_1[[#This Row],[Total sales]]*Table1_1[[#This Row],[Commission]])+Table1_1[[#This Row],[Total sales]]</f>
        <v>348.8</v>
      </c>
    </row>
    <row r="152" spans="1:9" x14ac:dyDescent="0.3">
      <c r="A152" s="1">
        <v>43296</v>
      </c>
      <c r="B152" t="s">
        <v>10</v>
      </c>
      <c r="C152" t="s">
        <v>8</v>
      </c>
      <c r="D152">
        <v>5</v>
      </c>
      <c r="E152">
        <v>40</v>
      </c>
      <c r="F152">
        <v>0.06</v>
      </c>
      <c r="G152" t="s">
        <v>27</v>
      </c>
      <c r="H152">
        <v>200</v>
      </c>
      <c r="I152">
        <f>(Table1_1[[#This Row],[Total sales]]*Table1_1[[#This Row],[Commission]])+Table1_1[[#This Row],[Total sales]]</f>
        <v>212</v>
      </c>
    </row>
    <row r="153" spans="1:9" x14ac:dyDescent="0.3">
      <c r="A153" s="1">
        <v>43296</v>
      </c>
      <c r="B153" t="s">
        <v>7</v>
      </c>
      <c r="C153" t="s">
        <v>21</v>
      </c>
      <c r="D153">
        <v>6</v>
      </c>
      <c r="E153">
        <v>80</v>
      </c>
      <c r="F153">
        <v>0.09</v>
      </c>
      <c r="G153" t="s">
        <v>28</v>
      </c>
      <c r="H153">
        <v>480</v>
      </c>
      <c r="I153">
        <f>(Table1_1[[#This Row],[Total sales]]*Table1_1[[#This Row],[Commission]])+Table1_1[[#This Row],[Total sales]]</f>
        <v>523.20000000000005</v>
      </c>
    </row>
    <row r="154" spans="1:9" x14ac:dyDescent="0.3">
      <c r="A154" s="1">
        <v>43296</v>
      </c>
      <c r="B154" t="s">
        <v>10</v>
      </c>
      <c r="C154" t="s">
        <v>18</v>
      </c>
      <c r="D154">
        <v>22</v>
      </c>
      <c r="E154">
        <v>40</v>
      </c>
      <c r="F154">
        <v>0.01</v>
      </c>
      <c r="G154" t="s">
        <v>9</v>
      </c>
      <c r="H154">
        <v>880</v>
      </c>
      <c r="I154">
        <f>(Table1_1[[#This Row],[Total sales]]*Table1_1[[#This Row],[Commission]])+Table1_1[[#This Row],[Total sales]]</f>
        <v>888.8</v>
      </c>
    </row>
    <row r="155" spans="1:9" x14ac:dyDescent="0.3">
      <c r="A155" s="1">
        <v>43296</v>
      </c>
      <c r="B155" t="s">
        <v>20</v>
      </c>
      <c r="C155" t="s">
        <v>8</v>
      </c>
      <c r="D155">
        <v>7</v>
      </c>
      <c r="E155">
        <v>16</v>
      </c>
      <c r="F155">
        <v>0.08</v>
      </c>
      <c r="G155" t="s">
        <v>12</v>
      </c>
      <c r="H155">
        <v>112</v>
      </c>
      <c r="I155">
        <f>(Table1_1[[#This Row],[Total sales]]*Table1_1[[#This Row],[Commission]])+Table1_1[[#This Row],[Total sales]]</f>
        <v>120.96000000000001</v>
      </c>
    </row>
    <row r="156" spans="1:9" x14ac:dyDescent="0.3">
      <c r="A156" s="1">
        <v>43296</v>
      </c>
      <c r="B156" t="s">
        <v>23</v>
      </c>
      <c r="C156" t="s">
        <v>16</v>
      </c>
      <c r="D156">
        <v>22</v>
      </c>
      <c r="E156">
        <v>150</v>
      </c>
      <c r="F156">
        <v>0.04</v>
      </c>
      <c r="G156" t="s">
        <v>14</v>
      </c>
      <c r="H156">
        <v>3300</v>
      </c>
      <c r="I156">
        <f>(Table1_1[[#This Row],[Total sales]]*Table1_1[[#This Row],[Commission]])+Table1_1[[#This Row],[Total sales]]</f>
        <v>3432</v>
      </c>
    </row>
    <row r="157" spans="1:9" x14ac:dyDescent="0.3">
      <c r="A157" s="1">
        <v>43296</v>
      </c>
      <c r="B157" t="s">
        <v>20</v>
      </c>
      <c r="C157" t="s">
        <v>18</v>
      </c>
      <c r="D157">
        <v>15</v>
      </c>
      <c r="E157">
        <v>16</v>
      </c>
      <c r="F157">
        <v>0.12</v>
      </c>
      <c r="G157" t="s">
        <v>15</v>
      </c>
      <c r="H157">
        <v>240</v>
      </c>
      <c r="I157">
        <f>(Table1_1[[#This Row],[Total sales]]*Table1_1[[#This Row],[Commission]])+Table1_1[[#This Row],[Total sales]]</f>
        <v>268.8</v>
      </c>
    </row>
    <row r="158" spans="1:9" x14ac:dyDescent="0.3">
      <c r="A158" s="1">
        <v>43296</v>
      </c>
      <c r="B158" t="s">
        <v>7</v>
      </c>
      <c r="C158" t="s">
        <v>16</v>
      </c>
      <c r="D158">
        <v>20</v>
      </c>
      <c r="E158">
        <v>80</v>
      </c>
      <c r="F158">
        <v>7.0000000000000007E-2</v>
      </c>
      <c r="G158" t="s">
        <v>17</v>
      </c>
      <c r="H158">
        <v>1600</v>
      </c>
      <c r="I158">
        <f>(Table1_1[[#This Row],[Total sales]]*Table1_1[[#This Row],[Commission]])+Table1_1[[#This Row],[Total sales]]</f>
        <v>1712</v>
      </c>
    </row>
    <row r="159" spans="1:9" x14ac:dyDescent="0.3">
      <c r="A159" s="1">
        <v>43296</v>
      </c>
      <c r="B159" t="s">
        <v>7</v>
      </c>
      <c r="C159" t="s">
        <v>16</v>
      </c>
      <c r="D159">
        <v>7</v>
      </c>
      <c r="E159">
        <v>80</v>
      </c>
      <c r="F159">
        <v>0.05</v>
      </c>
      <c r="G159" t="s">
        <v>19</v>
      </c>
      <c r="H159">
        <v>560</v>
      </c>
      <c r="I159">
        <f>(Table1_1[[#This Row],[Total sales]]*Table1_1[[#This Row],[Commission]])+Table1_1[[#This Row],[Total sales]]</f>
        <v>588</v>
      </c>
    </row>
    <row r="160" spans="1:9" x14ac:dyDescent="0.3">
      <c r="A160" s="1">
        <v>43296</v>
      </c>
      <c r="B160" t="s">
        <v>7</v>
      </c>
      <c r="C160" t="s">
        <v>11</v>
      </c>
      <c r="D160">
        <v>10</v>
      </c>
      <c r="E160">
        <v>80</v>
      </c>
      <c r="F160">
        <v>0.11</v>
      </c>
      <c r="G160" t="s">
        <v>22</v>
      </c>
      <c r="H160">
        <v>800</v>
      </c>
      <c r="I160">
        <f>(Table1_1[[#This Row],[Total sales]]*Table1_1[[#This Row],[Commission]])+Table1_1[[#This Row],[Total sales]]</f>
        <v>888</v>
      </c>
    </row>
    <row r="161" spans="1:9" x14ac:dyDescent="0.3">
      <c r="A161" s="1">
        <v>43296</v>
      </c>
      <c r="B161" t="s">
        <v>7</v>
      </c>
      <c r="C161" t="s">
        <v>11</v>
      </c>
      <c r="D161">
        <v>2</v>
      </c>
      <c r="E161">
        <v>80</v>
      </c>
      <c r="F161">
        <v>7.0000000000000007E-2</v>
      </c>
      <c r="G161" t="s">
        <v>24</v>
      </c>
      <c r="H161">
        <v>160</v>
      </c>
      <c r="I161">
        <f>(Table1_1[[#This Row],[Total sales]]*Table1_1[[#This Row],[Commission]])+Table1_1[[#This Row],[Total sales]]</f>
        <v>171.2</v>
      </c>
    </row>
    <row r="162" spans="1:9" x14ac:dyDescent="0.3">
      <c r="A162" s="1">
        <v>43296</v>
      </c>
      <c r="B162" t="s">
        <v>20</v>
      </c>
      <c r="C162" t="s">
        <v>21</v>
      </c>
      <c r="D162">
        <v>23</v>
      </c>
      <c r="E162">
        <v>16</v>
      </c>
      <c r="F162">
        <v>0.01</v>
      </c>
      <c r="G162" t="s">
        <v>25</v>
      </c>
      <c r="H162">
        <v>368</v>
      </c>
      <c r="I162">
        <f>(Table1_1[[#This Row],[Total sales]]*Table1_1[[#This Row],[Commission]])+Table1_1[[#This Row],[Total sales]]</f>
        <v>371.68</v>
      </c>
    </row>
    <row r="163" spans="1:9" x14ac:dyDescent="0.3">
      <c r="A163" s="1">
        <v>43296</v>
      </c>
      <c r="B163" t="s">
        <v>13</v>
      </c>
      <c r="C163" t="s">
        <v>11</v>
      </c>
      <c r="D163">
        <v>12</v>
      </c>
      <c r="E163">
        <v>230</v>
      </c>
      <c r="F163">
        <v>0.03</v>
      </c>
      <c r="G163" t="s">
        <v>26</v>
      </c>
      <c r="H163">
        <v>2760</v>
      </c>
      <c r="I163">
        <f>(Table1_1[[#This Row],[Total sales]]*Table1_1[[#This Row],[Commission]])+Table1_1[[#This Row],[Total sales]]</f>
        <v>2842.8</v>
      </c>
    </row>
    <row r="164" spans="1:9" x14ac:dyDescent="0.3">
      <c r="A164" s="1">
        <v>43297</v>
      </c>
      <c r="B164" t="s">
        <v>13</v>
      </c>
      <c r="C164" t="s">
        <v>8</v>
      </c>
      <c r="D164">
        <v>7</v>
      </c>
      <c r="E164">
        <v>230</v>
      </c>
      <c r="F164">
        <v>0.08</v>
      </c>
      <c r="G164" t="s">
        <v>27</v>
      </c>
      <c r="H164">
        <v>1610</v>
      </c>
      <c r="I164">
        <f>(Table1_1[[#This Row],[Total sales]]*Table1_1[[#This Row],[Commission]])+Table1_1[[#This Row],[Total sales]]</f>
        <v>1738.8</v>
      </c>
    </row>
    <row r="165" spans="1:9" x14ac:dyDescent="0.3">
      <c r="A165" s="1">
        <v>43297</v>
      </c>
      <c r="B165" t="s">
        <v>10</v>
      </c>
      <c r="C165" t="s">
        <v>18</v>
      </c>
      <c r="D165">
        <v>11</v>
      </c>
      <c r="E165">
        <v>40</v>
      </c>
      <c r="F165">
        <v>0.06</v>
      </c>
      <c r="G165" t="s">
        <v>28</v>
      </c>
      <c r="H165">
        <v>440</v>
      </c>
      <c r="I165">
        <f>(Table1_1[[#This Row],[Total sales]]*Table1_1[[#This Row],[Commission]])+Table1_1[[#This Row],[Total sales]]</f>
        <v>466.4</v>
      </c>
    </row>
    <row r="166" spans="1:9" x14ac:dyDescent="0.3">
      <c r="A166" s="1">
        <v>43297</v>
      </c>
      <c r="B166" t="s">
        <v>13</v>
      </c>
      <c r="C166" t="s">
        <v>11</v>
      </c>
      <c r="D166">
        <v>7</v>
      </c>
      <c r="E166">
        <v>230</v>
      </c>
      <c r="F166">
        <v>0.08</v>
      </c>
      <c r="G166" t="s">
        <v>9</v>
      </c>
      <c r="H166">
        <v>1610</v>
      </c>
      <c r="I166">
        <f>(Table1_1[[#This Row],[Total sales]]*Table1_1[[#This Row],[Commission]])+Table1_1[[#This Row],[Total sales]]</f>
        <v>1738.8</v>
      </c>
    </row>
    <row r="167" spans="1:9" x14ac:dyDescent="0.3">
      <c r="A167" s="1">
        <v>43297</v>
      </c>
      <c r="B167" t="s">
        <v>7</v>
      </c>
      <c r="C167" t="s">
        <v>8</v>
      </c>
      <c r="D167">
        <v>8</v>
      </c>
      <c r="E167">
        <v>80</v>
      </c>
      <c r="F167">
        <v>0.09</v>
      </c>
      <c r="G167" t="s">
        <v>12</v>
      </c>
      <c r="H167">
        <v>640</v>
      </c>
      <c r="I167">
        <f>(Table1_1[[#This Row],[Total sales]]*Table1_1[[#This Row],[Commission]])+Table1_1[[#This Row],[Total sales]]</f>
        <v>697.6</v>
      </c>
    </row>
    <row r="168" spans="1:9" x14ac:dyDescent="0.3">
      <c r="A168" s="1">
        <v>43297</v>
      </c>
      <c r="B168" t="s">
        <v>7</v>
      </c>
      <c r="C168" t="s">
        <v>18</v>
      </c>
      <c r="D168">
        <v>16</v>
      </c>
      <c r="E168">
        <v>80</v>
      </c>
      <c r="F168">
        <v>7.0000000000000007E-2</v>
      </c>
      <c r="G168" t="s">
        <v>14</v>
      </c>
      <c r="H168">
        <v>1280</v>
      </c>
      <c r="I168">
        <f>(Table1_1[[#This Row],[Total sales]]*Table1_1[[#This Row],[Commission]])+Table1_1[[#This Row],[Total sales]]</f>
        <v>1369.6</v>
      </c>
    </row>
    <row r="169" spans="1:9" x14ac:dyDescent="0.3">
      <c r="A169" s="1">
        <v>43297</v>
      </c>
      <c r="B169" t="s">
        <v>7</v>
      </c>
      <c r="C169" t="s">
        <v>16</v>
      </c>
      <c r="D169">
        <v>16</v>
      </c>
      <c r="E169">
        <v>80</v>
      </c>
      <c r="F169">
        <v>0.04</v>
      </c>
      <c r="G169" t="s">
        <v>15</v>
      </c>
      <c r="H169">
        <v>1280</v>
      </c>
      <c r="I169">
        <f>(Table1_1[[#This Row],[Total sales]]*Table1_1[[#This Row],[Commission]])+Table1_1[[#This Row],[Total sales]]</f>
        <v>1331.2</v>
      </c>
    </row>
    <row r="170" spans="1:9" x14ac:dyDescent="0.3">
      <c r="A170" s="1">
        <v>43297</v>
      </c>
      <c r="B170" t="s">
        <v>20</v>
      </c>
      <c r="C170" t="s">
        <v>16</v>
      </c>
      <c r="D170">
        <v>9</v>
      </c>
      <c r="E170">
        <v>16</v>
      </c>
      <c r="F170">
        <v>0.05</v>
      </c>
      <c r="G170" t="s">
        <v>17</v>
      </c>
      <c r="H170">
        <v>144</v>
      </c>
      <c r="I170">
        <f>(Table1_1[[#This Row],[Total sales]]*Table1_1[[#This Row],[Commission]])+Table1_1[[#This Row],[Total sales]]</f>
        <v>151.19999999999999</v>
      </c>
    </row>
    <row r="171" spans="1:9" x14ac:dyDescent="0.3">
      <c r="A171" s="1">
        <v>43297</v>
      </c>
      <c r="B171" t="s">
        <v>23</v>
      </c>
      <c r="C171" t="s">
        <v>21</v>
      </c>
      <c r="D171">
        <v>11</v>
      </c>
      <c r="E171">
        <v>150</v>
      </c>
      <c r="F171">
        <v>0.09</v>
      </c>
      <c r="G171" t="s">
        <v>19</v>
      </c>
      <c r="H171">
        <v>1650</v>
      </c>
      <c r="I171">
        <f>(Table1_1[[#This Row],[Total sales]]*Table1_1[[#This Row],[Commission]])+Table1_1[[#This Row],[Total sales]]</f>
        <v>1798.5</v>
      </c>
    </row>
    <row r="172" spans="1:9" x14ac:dyDescent="0.3">
      <c r="A172" s="1">
        <v>43297</v>
      </c>
      <c r="B172" t="s">
        <v>20</v>
      </c>
      <c r="C172" t="s">
        <v>8</v>
      </c>
      <c r="D172">
        <v>4</v>
      </c>
      <c r="E172">
        <v>16</v>
      </c>
      <c r="F172">
        <v>0.12</v>
      </c>
      <c r="G172" t="s">
        <v>22</v>
      </c>
      <c r="H172">
        <v>64</v>
      </c>
      <c r="I172">
        <f>(Table1_1[[#This Row],[Total sales]]*Table1_1[[#This Row],[Commission]])+Table1_1[[#This Row],[Total sales]]</f>
        <v>71.680000000000007</v>
      </c>
    </row>
    <row r="173" spans="1:9" x14ac:dyDescent="0.3">
      <c r="A173" s="1">
        <v>43297</v>
      </c>
      <c r="B173" t="s">
        <v>10</v>
      </c>
      <c r="C173" t="s">
        <v>18</v>
      </c>
      <c r="D173">
        <v>15</v>
      </c>
      <c r="E173">
        <v>40</v>
      </c>
      <c r="F173">
        <v>0.03</v>
      </c>
      <c r="G173" t="s">
        <v>24</v>
      </c>
      <c r="H173">
        <v>600</v>
      </c>
      <c r="I173">
        <f>(Table1_1[[#This Row],[Total sales]]*Table1_1[[#This Row],[Commission]])+Table1_1[[#This Row],[Total sales]]</f>
        <v>618</v>
      </c>
    </row>
    <row r="174" spans="1:9" x14ac:dyDescent="0.3">
      <c r="A174" s="1">
        <v>43297</v>
      </c>
      <c r="B174" t="s">
        <v>10</v>
      </c>
      <c r="C174" t="s">
        <v>21</v>
      </c>
      <c r="D174">
        <v>20</v>
      </c>
      <c r="E174">
        <v>40</v>
      </c>
      <c r="F174">
        <v>0.03</v>
      </c>
      <c r="G174" t="s">
        <v>25</v>
      </c>
      <c r="H174">
        <v>800</v>
      </c>
      <c r="I174">
        <f>(Table1_1[[#This Row],[Total sales]]*Table1_1[[#This Row],[Commission]])+Table1_1[[#This Row],[Total sales]]</f>
        <v>824</v>
      </c>
    </row>
    <row r="175" spans="1:9" x14ac:dyDescent="0.3">
      <c r="A175" s="1">
        <v>43298</v>
      </c>
      <c r="B175" t="s">
        <v>23</v>
      </c>
      <c r="C175" t="s">
        <v>16</v>
      </c>
      <c r="D175">
        <v>9</v>
      </c>
      <c r="E175">
        <v>150</v>
      </c>
      <c r="F175">
        <v>0.06</v>
      </c>
      <c r="G175" t="s">
        <v>26</v>
      </c>
      <c r="H175">
        <v>1350</v>
      </c>
      <c r="I175">
        <f>(Table1_1[[#This Row],[Total sales]]*Table1_1[[#This Row],[Commission]])+Table1_1[[#This Row],[Total sales]]</f>
        <v>1431</v>
      </c>
    </row>
    <row r="176" spans="1:9" x14ac:dyDescent="0.3">
      <c r="A176" s="1">
        <v>43298</v>
      </c>
      <c r="B176" t="s">
        <v>10</v>
      </c>
      <c r="C176" t="s">
        <v>11</v>
      </c>
      <c r="D176">
        <v>23</v>
      </c>
      <c r="E176">
        <v>40</v>
      </c>
      <c r="F176">
        <v>0.06</v>
      </c>
      <c r="G176" t="s">
        <v>27</v>
      </c>
      <c r="H176">
        <v>920</v>
      </c>
      <c r="I176">
        <f>(Table1_1[[#This Row],[Total sales]]*Table1_1[[#This Row],[Commission]])+Table1_1[[#This Row],[Total sales]]</f>
        <v>975.2</v>
      </c>
    </row>
    <row r="177" spans="1:9" x14ac:dyDescent="0.3">
      <c r="A177" s="1">
        <v>43298</v>
      </c>
      <c r="B177" t="s">
        <v>7</v>
      </c>
      <c r="C177" t="s">
        <v>21</v>
      </c>
      <c r="D177">
        <v>13</v>
      </c>
      <c r="E177">
        <v>80</v>
      </c>
      <c r="F177">
        <v>0.05</v>
      </c>
      <c r="G177" t="s">
        <v>28</v>
      </c>
      <c r="H177">
        <v>1040</v>
      </c>
      <c r="I177">
        <f>(Table1_1[[#This Row],[Total sales]]*Table1_1[[#This Row],[Commission]])+Table1_1[[#This Row],[Total sales]]</f>
        <v>1092</v>
      </c>
    </row>
    <row r="178" spans="1:9" x14ac:dyDescent="0.3">
      <c r="A178" s="1">
        <v>43298</v>
      </c>
      <c r="B178" t="s">
        <v>20</v>
      </c>
      <c r="C178" t="s">
        <v>8</v>
      </c>
      <c r="D178">
        <v>22</v>
      </c>
      <c r="E178">
        <v>16</v>
      </c>
      <c r="F178">
        <v>0.01</v>
      </c>
      <c r="G178" t="s">
        <v>9</v>
      </c>
      <c r="H178">
        <v>352</v>
      </c>
      <c r="I178">
        <f>(Table1_1[[#This Row],[Total sales]]*Table1_1[[#This Row],[Commission]])+Table1_1[[#This Row],[Total sales]]</f>
        <v>355.52</v>
      </c>
    </row>
    <row r="179" spans="1:9" x14ac:dyDescent="0.3">
      <c r="A179" s="1">
        <v>43298</v>
      </c>
      <c r="B179" t="s">
        <v>10</v>
      </c>
      <c r="C179" t="s">
        <v>8</v>
      </c>
      <c r="D179">
        <v>19</v>
      </c>
      <c r="E179">
        <v>40</v>
      </c>
      <c r="F179">
        <v>0.04</v>
      </c>
      <c r="G179" t="s">
        <v>12</v>
      </c>
      <c r="H179">
        <v>760</v>
      </c>
      <c r="I179">
        <f>(Table1_1[[#This Row],[Total sales]]*Table1_1[[#This Row],[Commission]])+Table1_1[[#This Row],[Total sales]]</f>
        <v>790.4</v>
      </c>
    </row>
    <row r="180" spans="1:9" x14ac:dyDescent="0.3">
      <c r="A180" s="1">
        <v>43298</v>
      </c>
      <c r="B180" t="s">
        <v>7</v>
      </c>
      <c r="C180" t="s">
        <v>18</v>
      </c>
      <c r="D180">
        <v>4</v>
      </c>
      <c r="E180">
        <v>80</v>
      </c>
      <c r="F180">
        <v>0.11</v>
      </c>
      <c r="G180" t="s">
        <v>14</v>
      </c>
      <c r="H180">
        <v>320</v>
      </c>
      <c r="I180">
        <f>(Table1_1[[#This Row],[Total sales]]*Table1_1[[#This Row],[Commission]])+Table1_1[[#This Row],[Total sales]]</f>
        <v>355.2</v>
      </c>
    </row>
    <row r="181" spans="1:9" x14ac:dyDescent="0.3">
      <c r="A181" s="1">
        <v>43298</v>
      </c>
      <c r="B181" t="s">
        <v>20</v>
      </c>
      <c r="C181" t="s">
        <v>8</v>
      </c>
      <c r="D181">
        <v>12</v>
      </c>
      <c r="E181">
        <v>16</v>
      </c>
      <c r="F181">
        <v>0.11</v>
      </c>
      <c r="G181" t="s">
        <v>15</v>
      </c>
      <c r="H181">
        <v>192</v>
      </c>
      <c r="I181">
        <f>(Table1_1[[#This Row],[Total sales]]*Table1_1[[#This Row],[Commission]])+Table1_1[[#This Row],[Total sales]]</f>
        <v>213.12</v>
      </c>
    </row>
    <row r="182" spans="1:9" x14ac:dyDescent="0.3">
      <c r="A182" s="1">
        <v>43298</v>
      </c>
      <c r="B182" t="s">
        <v>23</v>
      </c>
      <c r="C182" t="s">
        <v>11</v>
      </c>
      <c r="D182">
        <v>16</v>
      </c>
      <c r="E182">
        <v>150</v>
      </c>
      <c r="F182">
        <v>0.08</v>
      </c>
      <c r="G182" t="s">
        <v>17</v>
      </c>
      <c r="H182">
        <v>2400</v>
      </c>
      <c r="I182">
        <f>(Table1_1[[#This Row],[Total sales]]*Table1_1[[#This Row],[Commission]])+Table1_1[[#This Row],[Total sales]]</f>
        <v>2592</v>
      </c>
    </row>
    <row r="183" spans="1:9" x14ac:dyDescent="0.3">
      <c r="A183" s="1">
        <v>43298</v>
      </c>
      <c r="B183" t="s">
        <v>7</v>
      </c>
      <c r="C183" t="s">
        <v>8</v>
      </c>
      <c r="D183">
        <v>7</v>
      </c>
      <c r="E183">
        <v>80</v>
      </c>
      <c r="F183">
        <v>0.02</v>
      </c>
      <c r="G183" t="s">
        <v>19</v>
      </c>
      <c r="H183">
        <v>560</v>
      </c>
      <c r="I183">
        <f>(Table1_1[[#This Row],[Total sales]]*Table1_1[[#This Row],[Commission]])+Table1_1[[#This Row],[Total sales]]</f>
        <v>571.20000000000005</v>
      </c>
    </row>
    <row r="184" spans="1:9" x14ac:dyDescent="0.3">
      <c r="A184" s="1">
        <v>43298</v>
      </c>
      <c r="B184" t="s">
        <v>10</v>
      </c>
      <c r="C184" t="s">
        <v>21</v>
      </c>
      <c r="D184">
        <v>20</v>
      </c>
      <c r="E184">
        <v>40</v>
      </c>
      <c r="F184">
        <v>7.0000000000000007E-2</v>
      </c>
      <c r="G184" t="s">
        <v>22</v>
      </c>
      <c r="H184">
        <v>800</v>
      </c>
      <c r="I184">
        <f>(Table1_1[[#This Row],[Total sales]]*Table1_1[[#This Row],[Commission]])+Table1_1[[#This Row],[Total sales]]</f>
        <v>856</v>
      </c>
    </row>
    <row r="185" spans="1:9" x14ac:dyDescent="0.3">
      <c r="A185" s="1">
        <v>43298</v>
      </c>
      <c r="B185" t="s">
        <v>7</v>
      </c>
      <c r="C185" t="s">
        <v>11</v>
      </c>
      <c r="D185">
        <v>15</v>
      </c>
      <c r="E185">
        <v>80</v>
      </c>
      <c r="F185">
        <v>0.12</v>
      </c>
      <c r="G185" t="s">
        <v>24</v>
      </c>
      <c r="H185">
        <v>1200</v>
      </c>
      <c r="I185">
        <f>(Table1_1[[#This Row],[Total sales]]*Table1_1[[#This Row],[Commission]])+Table1_1[[#This Row],[Total sales]]</f>
        <v>1344</v>
      </c>
    </row>
    <row r="186" spans="1:9" x14ac:dyDescent="0.3">
      <c r="A186" s="1">
        <v>43298</v>
      </c>
      <c r="B186" t="s">
        <v>10</v>
      </c>
      <c r="C186" t="s">
        <v>8</v>
      </c>
      <c r="D186">
        <v>5</v>
      </c>
      <c r="E186">
        <v>40</v>
      </c>
      <c r="F186">
        <v>0.09</v>
      </c>
      <c r="G186" t="s">
        <v>25</v>
      </c>
      <c r="H186">
        <v>200</v>
      </c>
      <c r="I186">
        <f>(Table1_1[[#This Row],[Total sales]]*Table1_1[[#This Row],[Commission]])+Table1_1[[#This Row],[Total sales]]</f>
        <v>218</v>
      </c>
    </row>
    <row r="187" spans="1:9" x14ac:dyDescent="0.3">
      <c r="A187" s="1">
        <v>43298</v>
      </c>
      <c r="B187" t="s">
        <v>20</v>
      </c>
      <c r="C187" t="s">
        <v>21</v>
      </c>
      <c r="D187">
        <v>12</v>
      </c>
      <c r="E187">
        <v>16</v>
      </c>
      <c r="F187">
        <v>0.04</v>
      </c>
      <c r="G187" t="s">
        <v>26</v>
      </c>
      <c r="H187">
        <v>192</v>
      </c>
      <c r="I187">
        <f>(Table1_1[[#This Row],[Total sales]]*Table1_1[[#This Row],[Commission]])+Table1_1[[#This Row],[Total sales]]</f>
        <v>199.68</v>
      </c>
    </row>
    <row r="188" spans="1:9" x14ac:dyDescent="0.3">
      <c r="A188" s="1">
        <v>43299</v>
      </c>
      <c r="B188" t="s">
        <v>23</v>
      </c>
      <c r="C188" t="s">
        <v>18</v>
      </c>
      <c r="D188">
        <v>3</v>
      </c>
      <c r="E188">
        <v>150</v>
      </c>
      <c r="F188">
        <v>0.01</v>
      </c>
      <c r="G188" t="s">
        <v>27</v>
      </c>
      <c r="H188">
        <v>450</v>
      </c>
      <c r="I188">
        <f>(Table1_1[[#This Row],[Total sales]]*Table1_1[[#This Row],[Commission]])+Table1_1[[#This Row],[Total sales]]</f>
        <v>454.5</v>
      </c>
    </row>
    <row r="189" spans="1:9" x14ac:dyDescent="0.3">
      <c r="A189" s="1">
        <v>43299</v>
      </c>
      <c r="B189" t="s">
        <v>10</v>
      </c>
      <c r="C189" t="s">
        <v>21</v>
      </c>
      <c r="D189">
        <v>7</v>
      </c>
      <c r="E189">
        <v>40</v>
      </c>
      <c r="F189">
        <v>0.12</v>
      </c>
      <c r="G189" t="s">
        <v>28</v>
      </c>
      <c r="H189">
        <v>280</v>
      </c>
      <c r="I189">
        <f>(Table1_1[[#This Row],[Total sales]]*Table1_1[[#This Row],[Commission]])+Table1_1[[#This Row],[Total sales]]</f>
        <v>313.60000000000002</v>
      </c>
    </row>
    <row r="190" spans="1:9" x14ac:dyDescent="0.3">
      <c r="A190" s="1">
        <v>43299</v>
      </c>
      <c r="B190" t="s">
        <v>7</v>
      </c>
      <c r="C190" t="s">
        <v>11</v>
      </c>
      <c r="D190">
        <v>2</v>
      </c>
      <c r="E190">
        <v>80</v>
      </c>
      <c r="F190">
        <v>0.04</v>
      </c>
      <c r="G190" t="s">
        <v>9</v>
      </c>
      <c r="H190">
        <v>160</v>
      </c>
      <c r="I190">
        <f>(Table1_1[[#This Row],[Total sales]]*Table1_1[[#This Row],[Commission]])+Table1_1[[#This Row],[Total sales]]</f>
        <v>166.4</v>
      </c>
    </row>
    <row r="191" spans="1:9" x14ac:dyDescent="0.3">
      <c r="A191" s="1">
        <v>43299</v>
      </c>
      <c r="B191" t="s">
        <v>10</v>
      </c>
      <c r="C191" t="s">
        <v>18</v>
      </c>
      <c r="D191">
        <v>6</v>
      </c>
      <c r="E191">
        <v>40</v>
      </c>
      <c r="F191">
        <v>7.0000000000000007E-2</v>
      </c>
      <c r="G191" t="s">
        <v>12</v>
      </c>
      <c r="H191">
        <v>240</v>
      </c>
      <c r="I191">
        <f>(Table1_1[[#This Row],[Total sales]]*Table1_1[[#This Row],[Commission]])+Table1_1[[#This Row],[Total sales]]</f>
        <v>256.8</v>
      </c>
    </row>
    <row r="192" spans="1:9" x14ac:dyDescent="0.3">
      <c r="A192" s="1">
        <v>43299</v>
      </c>
      <c r="B192" t="s">
        <v>20</v>
      </c>
      <c r="C192" t="s">
        <v>16</v>
      </c>
      <c r="D192">
        <v>6</v>
      </c>
      <c r="E192">
        <v>16</v>
      </c>
      <c r="F192">
        <v>0.06</v>
      </c>
      <c r="G192" t="s">
        <v>14</v>
      </c>
      <c r="H192">
        <v>96</v>
      </c>
      <c r="I192">
        <f>(Table1_1[[#This Row],[Total sales]]*Table1_1[[#This Row],[Commission]])+Table1_1[[#This Row],[Total sales]]</f>
        <v>101.76</v>
      </c>
    </row>
    <row r="193" spans="1:9" x14ac:dyDescent="0.3">
      <c r="A193" s="1">
        <v>43299</v>
      </c>
      <c r="B193" t="s">
        <v>20</v>
      </c>
      <c r="C193" t="s">
        <v>8</v>
      </c>
      <c r="D193">
        <v>7</v>
      </c>
      <c r="E193">
        <v>16</v>
      </c>
      <c r="F193">
        <v>0.02</v>
      </c>
      <c r="G193" t="s">
        <v>15</v>
      </c>
      <c r="H193">
        <v>112</v>
      </c>
      <c r="I193">
        <f>(Table1_1[[#This Row],[Total sales]]*Table1_1[[#This Row],[Commission]])+Table1_1[[#This Row],[Total sales]]</f>
        <v>114.24</v>
      </c>
    </row>
    <row r="194" spans="1:9" x14ac:dyDescent="0.3">
      <c r="A194" s="1">
        <v>43299</v>
      </c>
      <c r="B194" t="s">
        <v>20</v>
      </c>
      <c r="C194" t="s">
        <v>11</v>
      </c>
      <c r="D194">
        <v>20</v>
      </c>
      <c r="E194">
        <v>16</v>
      </c>
      <c r="F194">
        <v>0.06</v>
      </c>
      <c r="G194" t="s">
        <v>17</v>
      </c>
      <c r="H194">
        <v>320</v>
      </c>
      <c r="I194">
        <f>(Table1_1[[#This Row],[Total sales]]*Table1_1[[#This Row],[Commission]])+Table1_1[[#This Row],[Total sales]]</f>
        <v>339.2</v>
      </c>
    </row>
    <row r="195" spans="1:9" x14ac:dyDescent="0.3">
      <c r="A195" s="1">
        <v>43299</v>
      </c>
      <c r="B195" t="s">
        <v>20</v>
      </c>
      <c r="C195" t="s">
        <v>11</v>
      </c>
      <c r="D195">
        <v>21</v>
      </c>
      <c r="E195">
        <v>16</v>
      </c>
      <c r="F195">
        <v>0.02</v>
      </c>
      <c r="G195" t="s">
        <v>19</v>
      </c>
      <c r="H195">
        <v>336</v>
      </c>
      <c r="I195">
        <f>(Table1_1[[#This Row],[Total sales]]*Table1_1[[#This Row],[Commission]])+Table1_1[[#This Row],[Total sales]]</f>
        <v>342.72</v>
      </c>
    </row>
    <row r="196" spans="1:9" x14ac:dyDescent="0.3">
      <c r="A196" s="1">
        <v>43299</v>
      </c>
      <c r="B196" t="s">
        <v>7</v>
      </c>
      <c r="C196" t="s">
        <v>18</v>
      </c>
      <c r="D196">
        <v>21</v>
      </c>
      <c r="E196">
        <v>80</v>
      </c>
      <c r="F196">
        <v>0.05</v>
      </c>
      <c r="G196" t="s">
        <v>22</v>
      </c>
      <c r="H196">
        <v>1680</v>
      </c>
      <c r="I196">
        <f>(Table1_1[[#This Row],[Total sales]]*Table1_1[[#This Row],[Commission]])+Table1_1[[#This Row],[Total sales]]</f>
        <v>1764</v>
      </c>
    </row>
    <row r="197" spans="1:9" x14ac:dyDescent="0.3">
      <c r="A197" s="1">
        <v>43299</v>
      </c>
      <c r="B197" t="s">
        <v>20</v>
      </c>
      <c r="C197" t="s">
        <v>18</v>
      </c>
      <c r="D197">
        <v>10</v>
      </c>
      <c r="E197">
        <v>16</v>
      </c>
      <c r="F197">
        <v>0.01</v>
      </c>
      <c r="G197" t="s">
        <v>24</v>
      </c>
      <c r="H197">
        <v>160</v>
      </c>
      <c r="I197">
        <f>(Table1_1[[#This Row],[Total sales]]*Table1_1[[#This Row],[Commission]])+Table1_1[[#This Row],[Total sales]]</f>
        <v>161.6</v>
      </c>
    </row>
    <row r="198" spans="1:9" x14ac:dyDescent="0.3">
      <c r="A198" s="1">
        <v>43300</v>
      </c>
      <c r="B198" t="s">
        <v>13</v>
      </c>
      <c r="C198" t="s">
        <v>18</v>
      </c>
      <c r="D198">
        <v>2</v>
      </c>
      <c r="E198">
        <v>230</v>
      </c>
      <c r="F198">
        <v>0.09</v>
      </c>
      <c r="G198" t="s">
        <v>25</v>
      </c>
      <c r="H198">
        <v>460</v>
      </c>
      <c r="I198">
        <f>(Table1_1[[#This Row],[Total sales]]*Table1_1[[#This Row],[Commission]])+Table1_1[[#This Row],[Total sales]]</f>
        <v>501.4</v>
      </c>
    </row>
    <row r="199" spans="1:9" x14ac:dyDescent="0.3">
      <c r="A199" s="1">
        <v>43300</v>
      </c>
      <c r="B199" t="s">
        <v>23</v>
      </c>
      <c r="C199" t="s">
        <v>8</v>
      </c>
      <c r="D199">
        <v>20</v>
      </c>
      <c r="E199">
        <v>150</v>
      </c>
      <c r="F199">
        <v>0.03</v>
      </c>
      <c r="G199" t="s">
        <v>26</v>
      </c>
      <c r="H199">
        <v>3000</v>
      </c>
      <c r="I199">
        <f>(Table1_1[[#This Row],[Total sales]]*Table1_1[[#This Row],[Commission]])+Table1_1[[#This Row],[Total sales]]</f>
        <v>3090</v>
      </c>
    </row>
    <row r="200" spans="1:9" x14ac:dyDescent="0.3">
      <c r="A200" s="1">
        <v>43300</v>
      </c>
      <c r="B200" t="s">
        <v>10</v>
      </c>
      <c r="C200" t="s">
        <v>8</v>
      </c>
      <c r="D200">
        <v>23</v>
      </c>
      <c r="E200">
        <v>40</v>
      </c>
      <c r="F200">
        <v>0.03</v>
      </c>
      <c r="G200" t="s">
        <v>27</v>
      </c>
      <c r="H200">
        <v>920</v>
      </c>
      <c r="I200">
        <f>(Table1_1[[#This Row],[Total sales]]*Table1_1[[#This Row],[Commission]])+Table1_1[[#This Row],[Total sales]]</f>
        <v>947.6</v>
      </c>
    </row>
    <row r="201" spans="1:9" x14ac:dyDescent="0.3">
      <c r="A201" s="1">
        <v>43300</v>
      </c>
      <c r="B201" t="s">
        <v>7</v>
      </c>
      <c r="C201" t="s">
        <v>18</v>
      </c>
      <c r="D201">
        <v>17</v>
      </c>
      <c r="E201">
        <v>80</v>
      </c>
      <c r="F201">
        <v>0.05</v>
      </c>
      <c r="G201" t="s">
        <v>28</v>
      </c>
      <c r="H201">
        <v>1360</v>
      </c>
      <c r="I201">
        <f>(Table1_1[[#This Row],[Total sales]]*Table1_1[[#This Row],[Commission]])+Table1_1[[#This Row],[Total sales]]</f>
        <v>1428</v>
      </c>
    </row>
    <row r="202" spans="1:9" x14ac:dyDescent="0.3">
      <c r="A202" s="1">
        <v>43300</v>
      </c>
      <c r="B202" t="s">
        <v>13</v>
      </c>
      <c r="C202" t="s">
        <v>18</v>
      </c>
      <c r="D202">
        <v>11</v>
      </c>
      <c r="E202">
        <v>230</v>
      </c>
      <c r="F202">
        <v>0.12</v>
      </c>
      <c r="G202" t="s">
        <v>9</v>
      </c>
      <c r="H202">
        <v>2530</v>
      </c>
      <c r="I202">
        <f>(Table1_1[[#This Row],[Total sales]]*Table1_1[[#This Row],[Commission]])+Table1_1[[#This Row],[Total sales]]</f>
        <v>2833.6</v>
      </c>
    </row>
    <row r="203" spans="1:9" x14ac:dyDescent="0.3">
      <c r="A203" s="1">
        <v>43300</v>
      </c>
      <c r="B203" t="s">
        <v>23</v>
      </c>
      <c r="C203" t="s">
        <v>11</v>
      </c>
      <c r="D203">
        <v>10</v>
      </c>
      <c r="E203">
        <v>150</v>
      </c>
      <c r="F203">
        <v>0.01</v>
      </c>
      <c r="G203" t="s">
        <v>12</v>
      </c>
      <c r="H203">
        <v>1500</v>
      </c>
      <c r="I203">
        <f>(Table1_1[[#This Row],[Total sales]]*Table1_1[[#This Row],[Commission]])+Table1_1[[#This Row],[Total sales]]</f>
        <v>1515</v>
      </c>
    </row>
    <row r="204" spans="1:9" x14ac:dyDescent="0.3">
      <c r="A204" s="1">
        <v>43300</v>
      </c>
      <c r="B204" t="s">
        <v>7</v>
      </c>
      <c r="C204" t="s">
        <v>11</v>
      </c>
      <c r="D204">
        <v>17</v>
      </c>
      <c r="E204">
        <v>80</v>
      </c>
      <c r="F204">
        <v>0.03</v>
      </c>
      <c r="G204" t="s">
        <v>14</v>
      </c>
      <c r="H204">
        <v>1360</v>
      </c>
      <c r="I204">
        <f>(Table1_1[[#This Row],[Total sales]]*Table1_1[[#This Row],[Commission]])+Table1_1[[#This Row],[Total sales]]</f>
        <v>1400.8</v>
      </c>
    </row>
    <row r="205" spans="1:9" x14ac:dyDescent="0.3">
      <c r="A205" s="1">
        <v>43301</v>
      </c>
      <c r="B205" t="s">
        <v>13</v>
      </c>
      <c r="C205" t="s">
        <v>8</v>
      </c>
      <c r="D205">
        <v>9</v>
      </c>
      <c r="E205">
        <v>230</v>
      </c>
      <c r="F205">
        <v>7.0000000000000007E-2</v>
      </c>
      <c r="G205" t="s">
        <v>15</v>
      </c>
      <c r="H205">
        <v>2070</v>
      </c>
      <c r="I205">
        <f>(Table1_1[[#This Row],[Total sales]]*Table1_1[[#This Row],[Commission]])+Table1_1[[#This Row],[Total sales]]</f>
        <v>2214.9</v>
      </c>
    </row>
    <row r="206" spans="1:9" x14ac:dyDescent="0.3">
      <c r="A206" s="1">
        <v>43301</v>
      </c>
      <c r="B206" t="s">
        <v>13</v>
      </c>
      <c r="C206" t="s">
        <v>8</v>
      </c>
      <c r="D206">
        <v>11</v>
      </c>
      <c r="E206">
        <v>230</v>
      </c>
      <c r="F206">
        <v>0.02</v>
      </c>
      <c r="G206" t="s">
        <v>17</v>
      </c>
      <c r="H206">
        <v>2530</v>
      </c>
      <c r="I206">
        <f>(Table1_1[[#This Row],[Total sales]]*Table1_1[[#This Row],[Commission]])+Table1_1[[#This Row],[Total sales]]</f>
        <v>2580.6</v>
      </c>
    </row>
    <row r="207" spans="1:9" x14ac:dyDescent="0.3">
      <c r="A207" s="1">
        <v>43301</v>
      </c>
      <c r="B207" t="s">
        <v>10</v>
      </c>
      <c r="C207" t="s">
        <v>16</v>
      </c>
      <c r="D207">
        <v>2</v>
      </c>
      <c r="E207">
        <v>40</v>
      </c>
      <c r="F207">
        <v>0.02</v>
      </c>
      <c r="G207" t="s">
        <v>19</v>
      </c>
      <c r="H207">
        <v>80</v>
      </c>
      <c r="I207">
        <f>(Table1_1[[#This Row],[Total sales]]*Table1_1[[#This Row],[Commission]])+Table1_1[[#This Row],[Total sales]]</f>
        <v>81.599999999999994</v>
      </c>
    </row>
    <row r="208" spans="1:9" x14ac:dyDescent="0.3">
      <c r="A208" s="1">
        <v>43301</v>
      </c>
      <c r="B208" t="s">
        <v>13</v>
      </c>
      <c r="C208" t="s">
        <v>21</v>
      </c>
      <c r="D208">
        <v>3</v>
      </c>
      <c r="E208">
        <v>230</v>
      </c>
      <c r="F208">
        <v>0.1</v>
      </c>
      <c r="G208" t="s">
        <v>22</v>
      </c>
      <c r="H208">
        <v>690</v>
      </c>
      <c r="I208">
        <f>(Table1_1[[#This Row],[Total sales]]*Table1_1[[#This Row],[Commission]])+Table1_1[[#This Row],[Total sales]]</f>
        <v>759</v>
      </c>
    </row>
    <row r="209" spans="1:9" x14ac:dyDescent="0.3">
      <c r="A209" s="1">
        <v>43301</v>
      </c>
      <c r="B209" t="s">
        <v>10</v>
      </c>
      <c r="C209" t="s">
        <v>21</v>
      </c>
      <c r="D209">
        <v>7</v>
      </c>
      <c r="E209">
        <v>40</v>
      </c>
      <c r="F209">
        <v>0.05</v>
      </c>
      <c r="G209" t="s">
        <v>24</v>
      </c>
      <c r="H209">
        <v>280</v>
      </c>
      <c r="I209">
        <f>(Table1_1[[#This Row],[Total sales]]*Table1_1[[#This Row],[Commission]])+Table1_1[[#This Row],[Total sales]]</f>
        <v>294</v>
      </c>
    </row>
    <row r="210" spans="1:9" x14ac:dyDescent="0.3">
      <c r="A210" s="1">
        <v>43301</v>
      </c>
      <c r="B210" t="s">
        <v>23</v>
      </c>
      <c r="C210" t="s">
        <v>11</v>
      </c>
      <c r="D210">
        <v>20</v>
      </c>
      <c r="E210">
        <v>150</v>
      </c>
      <c r="F210">
        <v>0.09</v>
      </c>
      <c r="G210" t="s">
        <v>25</v>
      </c>
      <c r="H210">
        <v>3000</v>
      </c>
      <c r="I210">
        <f>(Table1_1[[#This Row],[Total sales]]*Table1_1[[#This Row],[Commission]])+Table1_1[[#This Row],[Total sales]]</f>
        <v>3270</v>
      </c>
    </row>
    <row r="211" spans="1:9" x14ac:dyDescent="0.3">
      <c r="A211" s="1">
        <v>43301</v>
      </c>
      <c r="B211" t="s">
        <v>10</v>
      </c>
      <c r="C211" t="s">
        <v>16</v>
      </c>
      <c r="D211">
        <v>4</v>
      </c>
      <c r="E211">
        <v>40</v>
      </c>
      <c r="F211">
        <v>0.11</v>
      </c>
      <c r="G211" t="s">
        <v>26</v>
      </c>
      <c r="H211">
        <v>160</v>
      </c>
      <c r="I211">
        <f>(Table1_1[[#This Row],[Total sales]]*Table1_1[[#This Row],[Commission]])+Table1_1[[#This Row],[Total sales]]</f>
        <v>177.6</v>
      </c>
    </row>
    <row r="212" spans="1:9" x14ac:dyDescent="0.3">
      <c r="A212" s="1">
        <v>43302</v>
      </c>
      <c r="B212" t="s">
        <v>13</v>
      </c>
      <c r="C212" t="s">
        <v>16</v>
      </c>
      <c r="D212">
        <v>2</v>
      </c>
      <c r="E212">
        <v>230</v>
      </c>
      <c r="F212">
        <v>0.09</v>
      </c>
      <c r="G212" t="s">
        <v>9</v>
      </c>
      <c r="H212">
        <v>460</v>
      </c>
      <c r="I212">
        <f>(Table1_1[[#This Row],[Total sales]]*Table1_1[[#This Row],[Commission]])+Table1_1[[#This Row],[Total sales]]</f>
        <v>501.4</v>
      </c>
    </row>
    <row r="213" spans="1:9" x14ac:dyDescent="0.3">
      <c r="A213" s="1">
        <v>43302</v>
      </c>
      <c r="B213" t="s">
        <v>10</v>
      </c>
      <c r="C213" t="s">
        <v>11</v>
      </c>
      <c r="D213">
        <v>7</v>
      </c>
      <c r="E213">
        <v>40</v>
      </c>
      <c r="F213">
        <v>0.01</v>
      </c>
      <c r="G213" t="s">
        <v>12</v>
      </c>
      <c r="H213">
        <v>280</v>
      </c>
      <c r="I213">
        <f>(Table1_1[[#This Row],[Total sales]]*Table1_1[[#This Row],[Commission]])+Table1_1[[#This Row],[Total sales]]</f>
        <v>282.8</v>
      </c>
    </row>
    <row r="214" spans="1:9" x14ac:dyDescent="0.3">
      <c r="A214" s="1">
        <v>43302</v>
      </c>
      <c r="B214" t="s">
        <v>10</v>
      </c>
      <c r="C214" t="s">
        <v>8</v>
      </c>
      <c r="D214">
        <v>2</v>
      </c>
      <c r="E214">
        <v>40</v>
      </c>
      <c r="F214">
        <v>0.12</v>
      </c>
      <c r="G214" t="s">
        <v>14</v>
      </c>
      <c r="H214">
        <v>80</v>
      </c>
      <c r="I214">
        <f>(Table1_1[[#This Row],[Total sales]]*Table1_1[[#This Row],[Commission]])+Table1_1[[#This Row],[Total sales]]</f>
        <v>89.6</v>
      </c>
    </row>
    <row r="215" spans="1:9" x14ac:dyDescent="0.3">
      <c r="A215" s="1">
        <v>43302</v>
      </c>
      <c r="B215" t="s">
        <v>7</v>
      </c>
      <c r="C215" t="s">
        <v>11</v>
      </c>
      <c r="D215">
        <v>3</v>
      </c>
      <c r="E215">
        <v>80</v>
      </c>
      <c r="F215">
        <v>0.02</v>
      </c>
      <c r="G215" t="s">
        <v>15</v>
      </c>
      <c r="H215">
        <v>240</v>
      </c>
      <c r="I215">
        <f>(Table1_1[[#This Row],[Total sales]]*Table1_1[[#This Row],[Commission]])+Table1_1[[#This Row],[Total sales]]</f>
        <v>244.8</v>
      </c>
    </row>
    <row r="216" spans="1:9" x14ac:dyDescent="0.3">
      <c r="A216" s="1">
        <v>43302</v>
      </c>
      <c r="B216" t="s">
        <v>20</v>
      </c>
      <c r="C216" t="s">
        <v>8</v>
      </c>
      <c r="D216">
        <v>18</v>
      </c>
      <c r="E216">
        <v>16</v>
      </c>
      <c r="F216">
        <v>0.11</v>
      </c>
      <c r="G216" t="s">
        <v>17</v>
      </c>
      <c r="H216">
        <v>288</v>
      </c>
      <c r="I216">
        <f>(Table1_1[[#This Row],[Total sales]]*Table1_1[[#This Row],[Commission]])+Table1_1[[#This Row],[Total sales]]</f>
        <v>319.68</v>
      </c>
    </row>
    <row r="217" spans="1:9" x14ac:dyDescent="0.3">
      <c r="A217" s="1">
        <v>43302</v>
      </c>
      <c r="B217" t="s">
        <v>7</v>
      </c>
      <c r="C217" t="s">
        <v>11</v>
      </c>
      <c r="D217">
        <v>5</v>
      </c>
      <c r="E217">
        <v>80</v>
      </c>
      <c r="F217">
        <v>7.0000000000000007E-2</v>
      </c>
      <c r="G217" t="s">
        <v>19</v>
      </c>
      <c r="H217">
        <v>400</v>
      </c>
      <c r="I217">
        <f>(Table1_1[[#This Row],[Total sales]]*Table1_1[[#This Row],[Commission]])+Table1_1[[#This Row],[Total sales]]</f>
        <v>428</v>
      </c>
    </row>
    <row r="218" spans="1:9" x14ac:dyDescent="0.3">
      <c r="A218" s="1">
        <v>43302</v>
      </c>
      <c r="B218" t="s">
        <v>20</v>
      </c>
      <c r="C218" t="s">
        <v>16</v>
      </c>
      <c r="D218">
        <v>3</v>
      </c>
      <c r="E218">
        <v>16</v>
      </c>
      <c r="F218">
        <v>0.05</v>
      </c>
      <c r="G218" t="s">
        <v>22</v>
      </c>
      <c r="H218">
        <v>48</v>
      </c>
      <c r="I218">
        <f>(Table1_1[[#This Row],[Total sales]]*Table1_1[[#This Row],[Commission]])+Table1_1[[#This Row],[Total sales]]</f>
        <v>50.4</v>
      </c>
    </row>
    <row r="219" spans="1:9" x14ac:dyDescent="0.3">
      <c r="A219" s="1">
        <v>43302</v>
      </c>
      <c r="B219" t="s">
        <v>7</v>
      </c>
      <c r="C219" t="s">
        <v>18</v>
      </c>
      <c r="D219">
        <v>7</v>
      </c>
      <c r="E219">
        <v>80</v>
      </c>
      <c r="F219">
        <v>0.02</v>
      </c>
      <c r="G219" t="s">
        <v>24</v>
      </c>
      <c r="H219">
        <v>560</v>
      </c>
      <c r="I219">
        <f>(Table1_1[[#This Row],[Total sales]]*Table1_1[[#This Row],[Commission]])+Table1_1[[#This Row],[Total sales]]</f>
        <v>571.20000000000005</v>
      </c>
    </row>
    <row r="220" spans="1:9" x14ac:dyDescent="0.3">
      <c r="A220" s="1">
        <v>43302</v>
      </c>
      <c r="B220" t="s">
        <v>23</v>
      </c>
      <c r="C220" t="s">
        <v>18</v>
      </c>
      <c r="D220">
        <v>15</v>
      </c>
      <c r="E220">
        <v>150</v>
      </c>
      <c r="F220">
        <v>0.08</v>
      </c>
      <c r="G220" t="s">
        <v>25</v>
      </c>
      <c r="H220">
        <v>2250</v>
      </c>
      <c r="I220">
        <f>(Table1_1[[#This Row],[Total sales]]*Table1_1[[#This Row],[Commission]])+Table1_1[[#This Row],[Total sales]]</f>
        <v>2430</v>
      </c>
    </row>
    <row r="221" spans="1:9" x14ac:dyDescent="0.3">
      <c r="A221" s="1">
        <v>43302</v>
      </c>
      <c r="B221" t="s">
        <v>7</v>
      </c>
      <c r="C221" t="s">
        <v>16</v>
      </c>
      <c r="D221">
        <v>10</v>
      </c>
      <c r="E221">
        <v>80</v>
      </c>
      <c r="F221">
        <v>0.11</v>
      </c>
      <c r="G221" t="s">
        <v>26</v>
      </c>
      <c r="H221">
        <v>800</v>
      </c>
      <c r="I221">
        <f>(Table1_1[[#This Row],[Total sales]]*Table1_1[[#This Row],[Commission]])+Table1_1[[#This Row],[Total sales]]</f>
        <v>888</v>
      </c>
    </row>
    <row r="222" spans="1:9" x14ac:dyDescent="0.3">
      <c r="A222" s="1">
        <v>43302</v>
      </c>
      <c r="B222" t="s">
        <v>13</v>
      </c>
      <c r="C222" t="s">
        <v>21</v>
      </c>
      <c r="D222">
        <v>13</v>
      </c>
      <c r="E222">
        <v>230</v>
      </c>
      <c r="F222">
        <v>0.06</v>
      </c>
      <c r="G222" t="s">
        <v>27</v>
      </c>
      <c r="H222">
        <v>2990</v>
      </c>
      <c r="I222">
        <f>(Table1_1[[#This Row],[Total sales]]*Table1_1[[#This Row],[Commission]])+Table1_1[[#This Row],[Total sales]]</f>
        <v>3169.4</v>
      </c>
    </row>
    <row r="223" spans="1:9" x14ac:dyDescent="0.3">
      <c r="A223" s="1">
        <v>43302</v>
      </c>
      <c r="B223" t="s">
        <v>10</v>
      </c>
      <c r="C223" t="s">
        <v>8</v>
      </c>
      <c r="D223">
        <v>7</v>
      </c>
      <c r="E223">
        <v>40</v>
      </c>
      <c r="F223">
        <v>0.1</v>
      </c>
      <c r="G223" t="s">
        <v>28</v>
      </c>
      <c r="H223">
        <v>280</v>
      </c>
      <c r="I223">
        <f>(Table1_1[[#This Row],[Total sales]]*Table1_1[[#This Row],[Commission]])+Table1_1[[#This Row],[Total sales]]</f>
        <v>308</v>
      </c>
    </row>
    <row r="224" spans="1:9" x14ac:dyDescent="0.3">
      <c r="A224" s="1">
        <v>43302</v>
      </c>
      <c r="B224" t="s">
        <v>20</v>
      </c>
      <c r="C224" t="s">
        <v>16</v>
      </c>
      <c r="D224">
        <v>6</v>
      </c>
      <c r="E224">
        <v>16</v>
      </c>
      <c r="F224">
        <v>0.01</v>
      </c>
      <c r="G224" t="s">
        <v>9</v>
      </c>
      <c r="H224">
        <v>96</v>
      </c>
      <c r="I224">
        <f>(Table1_1[[#This Row],[Total sales]]*Table1_1[[#This Row],[Commission]])+Table1_1[[#This Row],[Total sales]]</f>
        <v>96.96</v>
      </c>
    </row>
    <row r="225" spans="1:9" x14ac:dyDescent="0.3">
      <c r="A225" s="1">
        <v>43303</v>
      </c>
      <c r="B225" t="s">
        <v>10</v>
      </c>
      <c r="C225" t="s">
        <v>16</v>
      </c>
      <c r="D225">
        <v>11</v>
      </c>
      <c r="E225">
        <v>40</v>
      </c>
      <c r="F225">
        <v>0.05</v>
      </c>
      <c r="G225" t="s">
        <v>12</v>
      </c>
      <c r="H225">
        <v>440</v>
      </c>
      <c r="I225">
        <f>(Table1_1[[#This Row],[Total sales]]*Table1_1[[#This Row],[Commission]])+Table1_1[[#This Row],[Total sales]]</f>
        <v>462</v>
      </c>
    </row>
    <row r="226" spans="1:9" x14ac:dyDescent="0.3">
      <c r="A226" s="1">
        <v>43303</v>
      </c>
      <c r="B226" t="s">
        <v>7</v>
      </c>
      <c r="C226" t="s">
        <v>18</v>
      </c>
      <c r="D226">
        <v>8</v>
      </c>
      <c r="E226">
        <v>80</v>
      </c>
      <c r="F226">
        <v>0.06</v>
      </c>
      <c r="G226" t="s">
        <v>14</v>
      </c>
      <c r="H226">
        <v>640</v>
      </c>
      <c r="I226">
        <f>(Table1_1[[#This Row],[Total sales]]*Table1_1[[#This Row],[Commission]])+Table1_1[[#This Row],[Total sales]]</f>
        <v>678.4</v>
      </c>
    </row>
    <row r="227" spans="1:9" x14ac:dyDescent="0.3">
      <c r="A227" s="1">
        <v>43303</v>
      </c>
      <c r="B227" t="s">
        <v>7</v>
      </c>
      <c r="C227" t="s">
        <v>8</v>
      </c>
      <c r="D227">
        <v>9</v>
      </c>
      <c r="E227">
        <v>80</v>
      </c>
      <c r="F227">
        <v>0.04</v>
      </c>
      <c r="G227" t="s">
        <v>15</v>
      </c>
      <c r="H227">
        <v>720</v>
      </c>
      <c r="I227">
        <f>(Table1_1[[#This Row],[Total sales]]*Table1_1[[#This Row],[Commission]])+Table1_1[[#This Row],[Total sales]]</f>
        <v>748.8</v>
      </c>
    </row>
    <row r="228" spans="1:9" x14ac:dyDescent="0.3">
      <c r="A228" s="1">
        <v>43303</v>
      </c>
      <c r="B228" t="s">
        <v>10</v>
      </c>
      <c r="C228" t="s">
        <v>21</v>
      </c>
      <c r="D228">
        <v>4</v>
      </c>
      <c r="E228">
        <v>40</v>
      </c>
      <c r="F228">
        <v>0.09</v>
      </c>
      <c r="G228" t="s">
        <v>17</v>
      </c>
      <c r="H228">
        <v>160</v>
      </c>
      <c r="I228">
        <f>(Table1_1[[#This Row],[Total sales]]*Table1_1[[#This Row],[Commission]])+Table1_1[[#This Row],[Total sales]]</f>
        <v>174.4</v>
      </c>
    </row>
    <row r="229" spans="1:9" x14ac:dyDescent="0.3">
      <c r="A229" s="1">
        <v>43303</v>
      </c>
      <c r="B229" t="s">
        <v>7</v>
      </c>
      <c r="C229" t="s">
        <v>11</v>
      </c>
      <c r="D229">
        <v>13</v>
      </c>
      <c r="E229">
        <v>80</v>
      </c>
      <c r="F229">
        <v>0.06</v>
      </c>
      <c r="G229" t="s">
        <v>19</v>
      </c>
      <c r="H229">
        <v>1040</v>
      </c>
      <c r="I229">
        <f>(Table1_1[[#This Row],[Total sales]]*Table1_1[[#This Row],[Commission]])+Table1_1[[#This Row],[Total sales]]</f>
        <v>1102.4000000000001</v>
      </c>
    </row>
    <row r="230" spans="1:9" x14ac:dyDescent="0.3">
      <c r="A230" s="1">
        <v>43303</v>
      </c>
      <c r="B230" t="s">
        <v>23</v>
      </c>
      <c r="C230" t="s">
        <v>21</v>
      </c>
      <c r="D230">
        <v>4</v>
      </c>
      <c r="E230">
        <v>150</v>
      </c>
      <c r="F230">
        <v>0.05</v>
      </c>
      <c r="G230" t="s">
        <v>22</v>
      </c>
      <c r="H230">
        <v>600</v>
      </c>
      <c r="I230">
        <f>(Table1_1[[#This Row],[Total sales]]*Table1_1[[#This Row],[Commission]])+Table1_1[[#This Row],[Total sales]]</f>
        <v>630</v>
      </c>
    </row>
    <row r="231" spans="1:9" x14ac:dyDescent="0.3">
      <c r="A231" s="1">
        <v>43303</v>
      </c>
      <c r="B231" t="s">
        <v>13</v>
      </c>
      <c r="C231" t="s">
        <v>16</v>
      </c>
      <c r="D231">
        <v>14</v>
      </c>
      <c r="E231">
        <v>230</v>
      </c>
      <c r="F231">
        <v>0.12</v>
      </c>
      <c r="G231" t="s">
        <v>24</v>
      </c>
      <c r="H231">
        <v>3220</v>
      </c>
      <c r="I231">
        <f>(Table1_1[[#This Row],[Total sales]]*Table1_1[[#This Row],[Commission]])+Table1_1[[#This Row],[Total sales]]</f>
        <v>3606.4</v>
      </c>
    </row>
    <row r="232" spans="1:9" x14ac:dyDescent="0.3">
      <c r="A232" s="1">
        <v>43303</v>
      </c>
      <c r="B232" t="s">
        <v>23</v>
      </c>
      <c r="C232" t="s">
        <v>21</v>
      </c>
      <c r="D232">
        <v>13</v>
      </c>
      <c r="E232">
        <v>150</v>
      </c>
      <c r="F232">
        <v>0.11</v>
      </c>
      <c r="G232" t="s">
        <v>25</v>
      </c>
      <c r="H232">
        <v>1950</v>
      </c>
      <c r="I232">
        <f>(Table1_1[[#This Row],[Total sales]]*Table1_1[[#This Row],[Commission]])+Table1_1[[#This Row],[Total sales]]</f>
        <v>2164.5</v>
      </c>
    </row>
    <row r="233" spans="1:9" x14ac:dyDescent="0.3">
      <c r="A233" s="1">
        <v>43303</v>
      </c>
      <c r="B233" t="s">
        <v>23</v>
      </c>
      <c r="C233" t="s">
        <v>11</v>
      </c>
      <c r="D233">
        <v>16</v>
      </c>
      <c r="E233">
        <v>150</v>
      </c>
      <c r="F233">
        <v>0.03</v>
      </c>
      <c r="G233" t="s">
        <v>26</v>
      </c>
      <c r="H233">
        <v>2400</v>
      </c>
      <c r="I233">
        <f>(Table1_1[[#This Row],[Total sales]]*Table1_1[[#This Row],[Commission]])+Table1_1[[#This Row],[Total sales]]</f>
        <v>2472</v>
      </c>
    </row>
    <row r="234" spans="1:9" x14ac:dyDescent="0.3">
      <c r="A234" s="1">
        <v>43303</v>
      </c>
      <c r="B234" t="s">
        <v>20</v>
      </c>
      <c r="C234" t="s">
        <v>8</v>
      </c>
      <c r="D234">
        <v>7</v>
      </c>
      <c r="E234">
        <v>16</v>
      </c>
      <c r="F234">
        <v>0.12</v>
      </c>
      <c r="G234" t="s">
        <v>27</v>
      </c>
      <c r="H234">
        <v>112</v>
      </c>
      <c r="I234">
        <f>(Table1_1[[#This Row],[Total sales]]*Table1_1[[#This Row],[Commission]])+Table1_1[[#This Row],[Total sales]]</f>
        <v>125.44</v>
      </c>
    </row>
    <row r="235" spans="1:9" x14ac:dyDescent="0.3">
      <c r="A235" s="1">
        <v>43303</v>
      </c>
      <c r="B235" t="s">
        <v>23</v>
      </c>
      <c r="C235" t="s">
        <v>18</v>
      </c>
      <c r="D235">
        <v>9</v>
      </c>
      <c r="E235">
        <v>150</v>
      </c>
      <c r="F235">
        <v>0.02</v>
      </c>
      <c r="G235" t="s">
        <v>28</v>
      </c>
      <c r="H235">
        <v>1350</v>
      </c>
      <c r="I235">
        <f>(Table1_1[[#This Row],[Total sales]]*Table1_1[[#This Row],[Commission]])+Table1_1[[#This Row],[Total sales]]</f>
        <v>1377</v>
      </c>
    </row>
    <row r="236" spans="1:9" x14ac:dyDescent="0.3">
      <c r="A236" s="1">
        <v>43303</v>
      </c>
      <c r="B236" t="s">
        <v>20</v>
      </c>
      <c r="C236" t="s">
        <v>8</v>
      </c>
      <c r="D236">
        <v>10</v>
      </c>
      <c r="E236">
        <v>16</v>
      </c>
      <c r="F236">
        <v>0.08</v>
      </c>
      <c r="G236" t="s">
        <v>9</v>
      </c>
      <c r="H236">
        <v>160</v>
      </c>
      <c r="I236">
        <f>(Table1_1[[#This Row],[Total sales]]*Table1_1[[#This Row],[Commission]])+Table1_1[[#This Row],[Total sales]]</f>
        <v>172.8</v>
      </c>
    </row>
    <row r="237" spans="1:9" x14ac:dyDescent="0.3">
      <c r="A237" s="1">
        <v>43303</v>
      </c>
      <c r="B237" t="s">
        <v>7</v>
      </c>
      <c r="C237" t="s">
        <v>18</v>
      </c>
      <c r="D237">
        <v>15</v>
      </c>
      <c r="E237">
        <v>80</v>
      </c>
      <c r="F237">
        <v>0.08</v>
      </c>
      <c r="G237" t="s">
        <v>12</v>
      </c>
      <c r="H237">
        <v>1200</v>
      </c>
      <c r="I237">
        <f>(Table1_1[[#This Row],[Total sales]]*Table1_1[[#This Row],[Commission]])+Table1_1[[#This Row],[Total sales]]</f>
        <v>1296</v>
      </c>
    </row>
    <row r="238" spans="1:9" x14ac:dyDescent="0.3">
      <c r="A238" s="1">
        <v>43303</v>
      </c>
      <c r="B238" t="s">
        <v>7</v>
      </c>
      <c r="C238" t="s">
        <v>21</v>
      </c>
      <c r="D238">
        <v>9</v>
      </c>
      <c r="E238">
        <v>80</v>
      </c>
      <c r="F238">
        <v>0.06</v>
      </c>
      <c r="G238" t="s">
        <v>14</v>
      </c>
      <c r="H238">
        <v>720</v>
      </c>
      <c r="I238">
        <f>(Table1_1[[#This Row],[Total sales]]*Table1_1[[#This Row],[Commission]])+Table1_1[[#This Row],[Total sales]]</f>
        <v>763.2</v>
      </c>
    </row>
    <row r="239" spans="1:9" x14ac:dyDescent="0.3">
      <c r="A239" s="1">
        <v>43304</v>
      </c>
      <c r="B239" t="s">
        <v>20</v>
      </c>
      <c r="C239" t="s">
        <v>18</v>
      </c>
      <c r="D239">
        <v>7</v>
      </c>
      <c r="E239">
        <v>16</v>
      </c>
      <c r="F239">
        <v>0.08</v>
      </c>
      <c r="G239" t="s">
        <v>15</v>
      </c>
      <c r="H239">
        <v>112</v>
      </c>
      <c r="I239">
        <f>(Table1_1[[#This Row],[Total sales]]*Table1_1[[#This Row],[Commission]])+Table1_1[[#This Row],[Total sales]]</f>
        <v>120.96000000000001</v>
      </c>
    </row>
    <row r="240" spans="1:9" x14ac:dyDescent="0.3">
      <c r="A240" s="1">
        <v>43304</v>
      </c>
      <c r="B240" t="s">
        <v>23</v>
      </c>
      <c r="C240" t="s">
        <v>21</v>
      </c>
      <c r="D240">
        <v>7</v>
      </c>
      <c r="E240">
        <v>150</v>
      </c>
      <c r="F240">
        <v>0.03</v>
      </c>
      <c r="G240" t="s">
        <v>17</v>
      </c>
      <c r="H240">
        <v>1050</v>
      </c>
      <c r="I240">
        <f>(Table1_1[[#This Row],[Total sales]]*Table1_1[[#This Row],[Commission]])+Table1_1[[#This Row],[Total sales]]</f>
        <v>1081.5</v>
      </c>
    </row>
    <row r="241" spans="1:9" x14ac:dyDescent="0.3">
      <c r="A241" s="1">
        <v>43304</v>
      </c>
      <c r="B241" t="s">
        <v>13</v>
      </c>
      <c r="C241" t="s">
        <v>18</v>
      </c>
      <c r="D241">
        <v>16</v>
      </c>
      <c r="E241">
        <v>230</v>
      </c>
      <c r="F241">
        <v>0.11</v>
      </c>
      <c r="G241" t="s">
        <v>19</v>
      </c>
      <c r="H241">
        <v>3680</v>
      </c>
      <c r="I241">
        <f>(Table1_1[[#This Row],[Total sales]]*Table1_1[[#This Row],[Commission]])+Table1_1[[#This Row],[Total sales]]</f>
        <v>4084.8</v>
      </c>
    </row>
    <row r="242" spans="1:9" x14ac:dyDescent="0.3">
      <c r="A242" s="1">
        <v>43304</v>
      </c>
      <c r="B242" t="s">
        <v>20</v>
      </c>
      <c r="C242" t="s">
        <v>18</v>
      </c>
      <c r="D242">
        <v>18</v>
      </c>
      <c r="E242">
        <v>16</v>
      </c>
      <c r="F242">
        <v>0.04</v>
      </c>
      <c r="G242" t="s">
        <v>22</v>
      </c>
      <c r="H242">
        <v>288</v>
      </c>
      <c r="I242">
        <f>(Table1_1[[#This Row],[Total sales]]*Table1_1[[#This Row],[Commission]])+Table1_1[[#This Row],[Total sales]]</f>
        <v>299.52</v>
      </c>
    </row>
    <row r="243" spans="1:9" x14ac:dyDescent="0.3">
      <c r="A243" s="1">
        <v>43304</v>
      </c>
      <c r="B243" t="s">
        <v>13</v>
      </c>
      <c r="C243" t="s">
        <v>21</v>
      </c>
      <c r="D243">
        <v>20</v>
      </c>
      <c r="E243">
        <v>230</v>
      </c>
      <c r="F243">
        <v>0.11</v>
      </c>
      <c r="G243" t="s">
        <v>24</v>
      </c>
      <c r="H243">
        <v>4600</v>
      </c>
      <c r="I243">
        <f>(Table1_1[[#This Row],[Total sales]]*Table1_1[[#This Row],[Commission]])+Table1_1[[#This Row],[Total sales]]</f>
        <v>5106</v>
      </c>
    </row>
    <row r="244" spans="1:9" x14ac:dyDescent="0.3">
      <c r="A244" s="1">
        <v>43304</v>
      </c>
      <c r="B244" t="s">
        <v>23</v>
      </c>
      <c r="C244" t="s">
        <v>8</v>
      </c>
      <c r="D244">
        <v>7</v>
      </c>
      <c r="E244">
        <v>150</v>
      </c>
      <c r="F244">
        <v>0.02</v>
      </c>
      <c r="G244" t="s">
        <v>25</v>
      </c>
      <c r="H244">
        <v>1050</v>
      </c>
      <c r="I244">
        <f>(Table1_1[[#This Row],[Total sales]]*Table1_1[[#This Row],[Commission]])+Table1_1[[#This Row],[Total sales]]</f>
        <v>1071</v>
      </c>
    </row>
    <row r="245" spans="1:9" x14ac:dyDescent="0.3">
      <c r="A245" s="1">
        <v>43304</v>
      </c>
      <c r="B245" t="s">
        <v>20</v>
      </c>
      <c r="C245" t="s">
        <v>16</v>
      </c>
      <c r="D245">
        <v>11</v>
      </c>
      <c r="E245">
        <v>16</v>
      </c>
      <c r="F245">
        <v>0.12</v>
      </c>
      <c r="G245" t="s">
        <v>26</v>
      </c>
      <c r="H245">
        <v>176</v>
      </c>
      <c r="I245">
        <f>(Table1_1[[#This Row],[Total sales]]*Table1_1[[#This Row],[Commission]])+Table1_1[[#This Row],[Total sales]]</f>
        <v>197.12</v>
      </c>
    </row>
    <row r="246" spans="1:9" x14ac:dyDescent="0.3">
      <c r="A246" s="1">
        <v>43304</v>
      </c>
      <c r="B246" t="s">
        <v>10</v>
      </c>
      <c r="C246" t="s">
        <v>16</v>
      </c>
      <c r="D246">
        <v>12</v>
      </c>
      <c r="E246">
        <v>40</v>
      </c>
      <c r="F246">
        <v>0.02</v>
      </c>
      <c r="G246" t="s">
        <v>27</v>
      </c>
      <c r="H246">
        <v>480</v>
      </c>
      <c r="I246">
        <f>(Table1_1[[#This Row],[Total sales]]*Table1_1[[#This Row],[Commission]])+Table1_1[[#This Row],[Total sales]]</f>
        <v>489.6</v>
      </c>
    </row>
    <row r="247" spans="1:9" x14ac:dyDescent="0.3">
      <c r="A247" s="1">
        <v>43304</v>
      </c>
      <c r="B247" t="s">
        <v>23</v>
      </c>
      <c r="C247" t="s">
        <v>21</v>
      </c>
      <c r="D247">
        <v>7</v>
      </c>
      <c r="E247">
        <v>150</v>
      </c>
      <c r="F247">
        <v>0.02</v>
      </c>
      <c r="G247" t="s">
        <v>28</v>
      </c>
      <c r="H247">
        <v>1050</v>
      </c>
      <c r="I247">
        <f>(Table1_1[[#This Row],[Total sales]]*Table1_1[[#This Row],[Commission]])+Table1_1[[#This Row],[Total sales]]</f>
        <v>1071</v>
      </c>
    </row>
    <row r="248" spans="1:9" x14ac:dyDescent="0.3">
      <c r="A248" s="1">
        <v>43304</v>
      </c>
      <c r="B248" t="s">
        <v>7</v>
      </c>
      <c r="C248" t="s">
        <v>16</v>
      </c>
      <c r="D248">
        <v>14</v>
      </c>
      <c r="E248">
        <v>80</v>
      </c>
      <c r="F248">
        <v>0.1</v>
      </c>
      <c r="G248" t="s">
        <v>9</v>
      </c>
      <c r="H248">
        <v>1120</v>
      </c>
      <c r="I248">
        <f>(Table1_1[[#This Row],[Total sales]]*Table1_1[[#This Row],[Commission]])+Table1_1[[#This Row],[Total sales]]</f>
        <v>1232</v>
      </c>
    </row>
    <row r="249" spans="1:9" x14ac:dyDescent="0.3">
      <c r="A249" s="1">
        <v>43304</v>
      </c>
      <c r="B249" t="s">
        <v>13</v>
      </c>
      <c r="C249" t="s">
        <v>16</v>
      </c>
      <c r="D249">
        <v>12</v>
      </c>
      <c r="E249">
        <v>230</v>
      </c>
      <c r="F249">
        <v>0.06</v>
      </c>
      <c r="G249" t="s">
        <v>12</v>
      </c>
      <c r="H249">
        <v>2760</v>
      </c>
      <c r="I249">
        <f>(Table1_1[[#This Row],[Total sales]]*Table1_1[[#This Row],[Commission]])+Table1_1[[#This Row],[Total sales]]</f>
        <v>2925.6</v>
      </c>
    </row>
    <row r="250" spans="1:9" x14ac:dyDescent="0.3">
      <c r="A250" s="1">
        <v>43305</v>
      </c>
      <c r="B250" t="s">
        <v>7</v>
      </c>
      <c r="C250" t="s">
        <v>11</v>
      </c>
      <c r="D250">
        <v>21</v>
      </c>
      <c r="E250">
        <v>80</v>
      </c>
      <c r="F250">
        <v>0.04</v>
      </c>
      <c r="G250" t="s">
        <v>14</v>
      </c>
      <c r="H250">
        <v>1680</v>
      </c>
      <c r="I250">
        <f>(Table1_1[[#This Row],[Total sales]]*Table1_1[[#This Row],[Commission]])+Table1_1[[#This Row],[Total sales]]</f>
        <v>1747.2</v>
      </c>
    </row>
    <row r="251" spans="1:9" x14ac:dyDescent="0.3">
      <c r="A251" s="1">
        <v>43305</v>
      </c>
      <c r="B251" t="s">
        <v>23</v>
      </c>
      <c r="C251" t="s">
        <v>8</v>
      </c>
      <c r="D251">
        <v>8</v>
      </c>
      <c r="E251">
        <v>150</v>
      </c>
      <c r="F251">
        <v>0.09</v>
      </c>
      <c r="G251" t="s">
        <v>15</v>
      </c>
      <c r="H251">
        <v>1200</v>
      </c>
      <c r="I251">
        <f>(Table1_1[[#This Row],[Total sales]]*Table1_1[[#This Row],[Commission]])+Table1_1[[#This Row],[Total sales]]</f>
        <v>1308</v>
      </c>
    </row>
    <row r="252" spans="1:9" x14ac:dyDescent="0.3">
      <c r="A252" s="1">
        <v>43305</v>
      </c>
      <c r="B252" t="s">
        <v>7</v>
      </c>
      <c r="C252" t="s">
        <v>11</v>
      </c>
      <c r="D252">
        <v>16</v>
      </c>
      <c r="E252">
        <v>80</v>
      </c>
      <c r="F252">
        <v>0.04</v>
      </c>
      <c r="G252" t="s">
        <v>17</v>
      </c>
      <c r="H252">
        <v>1280</v>
      </c>
      <c r="I252">
        <f>(Table1_1[[#This Row],[Total sales]]*Table1_1[[#This Row],[Commission]])+Table1_1[[#This Row],[Total sales]]</f>
        <v>1331.2</v>
      </c>
    </row>
    <row r="253" spans="1:9" x14ac:dyDescent="0.3">
      <c r="A253" s="1">
        <v>43305</v>
      </c>
      <c r="B253" t="s">
        <v>13</v>
      </c>
      <c r="C253" t="s">
        <v>11</v>
      </c>
      <c r="D253">
        <v>14</v>
      </c>
      <c r="E253">
        <v>230</v>
      </c>
      <c r="F253">
        <v>0.05</v>
      </c>
      <c r="G253" t="s">
        <v>19</v>
      </c>
      <c r="H253">
        <v>3220</v>
      </c>
      <c r="I253">
        <f>(Table1_1[[#This Row],[Total sales]]*Table1_1[[#This Row],[Commission]])+Table1_1[[#This Row],[Total sales]]</f>
        <v>3381</v>
      </c>
    </row>
    <row r="254" spans="1:9" x14ac:dyDescent="0.3">
      <c r="A254" s="1">
        <v>43305</v>
      </c>
      <c r="B254" t="s">
        <v>10</v>
      </c>
      <c r="C254" t="s">
        <v>16</v>
      </c>
      <c r="D254">
        <v>2</v>
      </c>
      <c r="E254">
        <v>40</v>
      </c>
      <c r="F254">
        <v>0.03</v>
      </c>
      <c r="G254" t="s">
        <v>22</v>
      </c>
      <c r="H254">
        <v>80</v>
      </c>
      <c r="I254">
        <f>(Table1_1[[#This Row],[Total sales]]*Table1_1[[#This Row],[Commission]])+Table1_1[[#This Row],[Total sales]]</f>
        <v>82.4</v>
      </c>
    </row>
    <row r="255" spans="1:9" x14ac:dyDescent="0.3">
      <c r="A255" s="1">
        <v>43305</v>
      </c>
      <c r="B255" t="s">
        <v>23</v>
      </c>
      <c r="C255" t="s">
        <v>8</v>
      </c>
      <c r="D255">
        <v>4</v>
      </c>
      <c r="E255">
        <v>150</v>
      </c>
      <c r="F255">
        <v>0.1</v>
      </c>
      <c r="G255" t="s">
        <v>24</v>
      </c>
      <c r="H255">
        <v>600</v>
      </c>
      <c r="I255">
        <f>(Table1_1[[#This Row],[Total sales]]*Table1_1[[#This Row],[Commission]])+Table1_1[[#This Row],[Total sales]]</f>
        <v>660</v>
      </c>
    </row>
    <row r="256" spans="1:9" x14ac:dyDescent="0.3">
      <c r="A256" s="1">
        <v>43305</v>
      </c>
      <c r="B256" t="s">
        <v>7</v>
      </c>
      <c r="C256" t="s">
        <v>16</v>
      </c>
      <c r="D256">
        <v>6</v>
      </c>
      <c r="E256">
        <v>80</v>
      </c>
      <c r="F256">
        <v>0.01</v>
      </c>
      <c r="G256" t="s">
        <v>25</v>
      </c>
      <c r="H256">
        <v>480</v>
      </c>
      <c r="I256">
        <f>(Table1_1[[#This Row],[Total sales]]*Table1_1[[#This Row],[Commission]])+Table1_1[[#This Row],[Total sales]]</f>
        <v>484.8</v>
      </c>
    </row>
    <row r="257" spans="1:9" x14ac:dyDescent="0.3">
      <c r="A257" s="1">
        <v>43305</v>
      </c>
      <c r="B257" t="s">
        <v>10</v>
      </c>
      <c r="C257" t="s">
        <v>16</v>
      </c>
      <c r="D257">
        <v>6</v>
      </c>
      <c r="E257">
        <v>40</v>
      </c>
      <c r="F257">
        <v>0.06</v>
      </c>
      <c r="G257" t="s">
        <v>26</v>
      </c>
      <c r="H257">
        <v>240</v>
      </c>
      <c r="I257">
        <f>(Table1_1[[#This Row],[Total sales]]*Table1_1[[#This Row],[Commission]])+Table1_1[[#This Row],[Total sales]]</f>
        <v>254.4</v>
      </c>
    </row>
    <row r="258" spans="1:9" x14ac:dyDescent="0.3">
      <c r="A258" s="1">
        <v>43305</v>
      </c>
      <c r="B258" t="s">
        <v>23</v>
      </c>
      <c r="C258" t="s">
        <v>8</v>
      </c>
      <c r="D258">
        <v>20</v>
      </c>
      <c r="E258">
        <v>150</v>
      </c>
      <c r="F258">
        <v>0.04</v>
      </c>
      <c r="G258" t="s">
        <v>27</v>
      </c>
      <c r="H258">
        <v>3000</v>
      </c>
      <c r="I258">
        <f>(Table1_1[[#This Row],[Total sales]]*Table1_1[[#This Row],[Commission]])+Table1_1[[#This Row],[Total sales]]</f>
        <v>3120</v>
      </c>
    </row>
    <row r="259" spans="1:9" x14ac:dyDescent="0.3">
      <c r="A259" s="1">
        <v>43305</v>
      </c>
      <c r="B259" t="s">
        <v>10</v>
      </c>
      <c r="C259" t="s">
        <v>16</v>
      </c>
      <c r="D259">
        <v>18</v>
      </c>
      <c r="E259">
        <v>40</v>
      </c>
      <c r="F259">
        <v>0.03</v>
      </c>
      <c r="G259" t="s">
        <v>28</v>
      </c>
      <c r="H259">
        <v>720</v>
      </c>
      <c r="I259">
        <f>(Table1_1[[#This Row],[Total sales]]*Table1_1[[#This Row],[Commission]])+Table1_1[[#This Row],[Total sales]]</f>
        <v>741.6</v>
      </c>
    </row>
    <row r="260" spans="1:9" x14ac:dyDescent="0.3">
      <c r="A260" s="1">
        <v>43305</v>
      </c>
      <c r="B260" t="s">
        <v>13</v>
      </c>
      <c r="C260" t="s">
        <v>18</v>
      </c>
      <c r="D260">
        <v>18</v>
      </c>
      <c r="E260">
        <v>230</v>
      </c>
      <c r="F260">
        <v>0.01</v>
      </c>
      <c r="G260" t="s">
        <v>9</v>
      </c>
      <c r="H260">
        <v>4140</v>
      </c>
      <c r="I260">
        <f>(Table1_1[[#This Row],[Total sales]]*Table1_1[[#This Row],[Commission]])+Table1_1[[#This Row],[Total sales]]</f>
        <v>4181.3999999999996</v>
      </c>
    </row>
    <row r="261" spans="1:9" x14ac:dyDescent="0.3">
      <c r="A261" s="1">
        <v>43305</v>
      </c>
      <c r="B261" t="s">
        <v>13</v>
      </c>
      <c r="C261" t="s">
        <v>16</v>
      </c>
      <c r="D261">
        <v>15</v>
      </c>
      <c r="E261">
        <v>230</v>
      </c>
      <c r="F261">
        <v>0.04</v>
      </c>
      <c r="G261" t="s">
        <v>12</v>
      </c>
      <c r="H261">
        <v>3450</v>
      </c>
      <c r="I261">
        <f>(Table1_1[[#This Row],[Total sales]]*Table1_1[[#This Row],[Commission]])+Table1_1[[#This Row],[Total sales]]</f>
        <v>3588</v>
      </c>
    </row>
    <row r="262" spans="1:9" x14ac:dyDescent="0.3">
      <c r="A262" s="1">
        <v>43305</v>
      </c>
      <c r="B262" t="s">
        <v>20</v>
      </c>
      <c r="C262" t="s">
        <v>11</v>
      </c>
      <c r="D262">
        <v>22</v>
      </c>
      <c r="E262">
        <v>16</v>
      </c>
      <c r="F262">
        <v>0.01</v>
      </c>
      <c r="G262" t="s">
        <v>14</v>
      </c>
      <c r="H262">
        <v>352</v>
      </c>
      <c r="I262">
        <f>(Table1_1[[#This Row],[Total sales]]*Table1_1[[#This Row],[Commission]])+Table1_1[[#This Row],[Total sales]]</f>
        <v>355.52</v>
      </c>
    </row>
    <row r="263" spans="1:9" x14ac:dyDescent="0.3">
      <c r="A263" s="1">
        <v>43305</v>
      </c>
      <c r="B263" t="s">
        <v>23</v>
      </c>
      <c r="C263" t="s">
        <v>8</v>
      </c>
      <c r="D263">
        <v>17</v>
      </c>
      <c r="E263">
        <v>150</v>
      </c>
      <c r="F263">
        <v>0.12</v>
      </c>
      <c r="G263" t="s">
        <v>15</v>
      </c>
      <c r="H263">
        <v>2550</v>
      </c>
      <c r="I263">
        <f>(Table1_1[[#This Row],[Total sales]]*Table1_1[[#This Row],[Commission]])+Table1_1[[#This Row],[Total sales]]</f>
        <v>2856</v>
      </c>
    </row>
    <row r="264" spans="1:9" x14ac:dyDescent="0.3">
      <c r="A264" s="1">
        <v>43306</v>
      </c>
      <c r="B264" t="s">
        <v>20</v>
      </c>
      <c r="C264" t="s">
        <v>11</v>
      </c>
      <c r="D264">
        <v>5</v>
      </c>
      <c r="E264">
        <v>16</v>
      </c>
      <c r="F264">
        <v>0.11</v>
      </c>
      <c r="G264" t="s">
        <v>17</v>
      </c>
      <c r="H264">
        <v>80</v>
      </c>
      <c r="I264">
        <f>(Table1_1[[#This Row],[Total sales]]*Table1_1[[#This Row],[Commission]])+Table1_1[[#This Row],[Total sales]]</f>
        <v>88.8</v>
      </c>
    </row>
    <row r="265" spans="1:9" x14ac:dyDescent="0.3">
      <c r="A265" s="1">
        <v>43306</v>
      </c>
      <c r="B265" t="s">
        <v>23</v>
      </c>
      <c r="C265" t="s">
        <v>8</v>
      </c>
      <c r="D265">
        <v>23</v>
      </c>
      <c r="E265">
        <v>150</v>
      </c>
      <c r="F265">
        <v>0.1</v>
      </c>
      <c r="G265" t="s">
        <v>19</v>
      </c>
      <c r="H265">
        <v>3450</v>
      </c>
      <c r="I265">
        <f>(Table1_1[[#This Row],[Total sales]]*Table1_1[[#This Row],[Commission]])+Table1_1[[#This Row],[Total sales]]</f>
        <v>3795</v>
      </c>
    </row>
    <row r="266" spans="1:9" x14ac:dyDescent="0.3">
      <c r="A266" s="1">
        <v>43306</v>
      </c>
      <c r="B266" t="s">
        <v>23</v>
      </c>
      <c r="C266" t="s">
        <v>18</v>
      </c>
      <c r="D266">
        <v>22</v>
      </c>
      <c r="E266">
        <v>150</v>
      </c>
      <c r="F266">
        <v>0.05</v>
      </c>
      <c r="G266" t="s">
        <v>22</v>
      </c>
      <c r="H266">
        <v>3300</v>
      </c>
      <c r="I266">
        <f>(Table1_1[[#This Row],[Total sales]]*Table1_1[[#This Row],[Commission]])+Table1_1[[#This Row],[Total sales]]</f>
        <v>3465</v>
      </c>
    </row>
    <row r="267" spans="1:9" x14ac:dyDescent="0.3">
      <c r="A267" s="1">
        <v>43306</v>
      </c>
      <c r="B267" t="s">
        <v>20</v>
      </c>
      <c r="C267" t="s">
        <v>21</v>
      </c>
      <c r="D267">
        <v>15</v>
      </c>
      <c r="E267">
        <v>16</v>
      </c>
      <c r="F267">
        <v>0.01</v>
      </c>
      <c r="G267" t="s">
        <v>24</v>
      </c>
      <c r="H267">
        <v>240</v>
      </c>
      <c r="I267">
        <f>(Table1_1[[#This Row],[Total sales]]*Table1_1[[#This Row],[Commission]])+Table1_1[[#This Row],[Total sales]]</f>
        <v>242.4</v>
      </c>
    </row>
    <row r="268" spans="1:9" x14ac:dyDescent="0.3">
      <c r="A268" s="1">
        <v>43306</v>
      </c>
      <c r="B268" t="s">
        <v>10</v>
      </c>
      <c r="C268" t="s">
        <v>18</v>
      </c>
      <c r="D268">
        <v>7</v>
      </c>
      <c r="E268">
        <v>40</v>
      </c>
      <c r="F268">
        <v>7.0000000000000007E-2</v>
      </c>
      <c r="G268" t="s">
        <v>25</v>
      </c>
      <c r="H268">
        <v>280</v>
      </c>
      <c r="I268">
        <f>(Table1_1[[#This Row],[Total sales]]*Table1_1[[#This Row],[Commission]])+Table1_1[[#This Row],[Total sales]]</f>
        <v>299.60000000000002</v>
      </c>
    </row>
    <row r="269" spans="1:9" x14ac:dyDescent="0.3">
      <c r="A269" s="1">
        <v>43306</v>
      </c>
      <c r="B269" t="s">
        <v>7</v>
      </c>
      <c r="C269" t="s">
        <v>21</v>
      </c>
      <c r="D269">
        <v>22</v>
      </c>
      <c r="E269">
        <v>80</v>
      </c>
      <c r="F269">
        <v>0.11</v>
      </c>
      <c r="G269" t="s">
        <v>26</v>
      </c>
      <c r="H269">
        <v>1760</v>
      </c>
      <c r="I269">
        <f>(Table1_1[[#This Row],[Total sales]]*Table1_1[[#This Row],[Commission]])+Table1_1[[#This Row],[Total sales]]</f>
        <v>1953.6</v>
      </c>
    </row>
    <row r="270" spans="1:9" x14ac:dyDescent="0.3">
      <c r="A270" s="1">
        <v>43306</v>
      </c>
      <c r="B270" t="s">
        <v>23</v>
      </c>
      <c r="C270" t="s">
        <v>16</v>
      </c>
      <c r="D270">
        <v>11</v>
      </c>
      <c r="E270">
        <v>150</v>
      </c>
      <c r="F270">
        <v>0.05</v>
      </c>
      <c r="G270" t="s">
        <v>27</v>
      </c>
      <c r="H270">
        <v>1650</v>
      </c>
      <c r="I270">
        <f>(Table1_1[[#This Row],[Total sales]]*Table1_1[[#This Row],[Commission]])+Table1_1[[#This Row],[Total sales]]</f>
        <v>1732.5</v>
      </c>
    </row>
    <row r="271" spans="1:9" x14ac:dyDescent="0.3">
      <c r="A271" s="1">
        <v>43306</v>
      </c>
      <c r="B271" t="s">
        <v>10</v>
      </c>
      <c r="C271" t="s">
        <v>11</v>
      </c>
      <c r="D271">
        <v>21</v>
      </c>
      <c r="E271">
        <v>40</v>
      </c>
      <c r="F271">
        <v>0.03</v>
      </c>
      <c r="G271" t="s">
        <v>28</v>
      </c>
      <c r="H271">
        <v>840</v>
      </c>
      <c r="I271">
        <f>(Table1_1[[#This Row],[Total sales]]*Table1_1[[#This Row],[Commission]])+Table1_1[[#This Row],[Total sales]]</f>
        <v>865.2</v>
      </c>
    </row>
    <row r="272" spans="1:9" x14ac:dyDescent="0.3">
      <c r="A272" s="1">
        <v>43306</v>
      </c>
      <c r="B272" t="s">
        <v>7</v>
      </c>
      <c r="C272" t="s">
        <v>18</v>
      </c>
      <c r="D272">
        <v>23</v>
      </c>
      <c r="E272">
        <v>80</v>
      </c>
      <c r="F272">
        <v>0.11</v>
      </c>
      <c r="G272" t="s">
        <v>9</v>
      </c>
      <c r="H272">
        <v>1840</v>
      </c>
      <c r="I272">
        <f>(Table1_1[[#This Row],[Total sales]]*Table1_1[[#This Row],[Commission]])+Table1_1[[#This Row],[Total sales]]</f>
        <v>2042.4</v>
      </c>
    </row>
    <row r="273" spans="1:9" x14ac:dyDescent="0.3">
      <c r="A273" s="1">
        <v>43306</v>
      </c>
      <c r="B273" t="s">
        <v>13</v>
      </c>
      <c r="C273" t="s">
        <v>16</v>
      </c>
      <c r="D273">
        <v>7</v>
      </c>
      <c r="E273">
        <v>230</v>
      </c>
      <c r="F273">
        <v>0.01</v>
      </c>
      <c r="G273" t="s">
        <v>12</v>
      </c>
      <c r="H273">
        <v>1610</v>
      </c>
      <c r="I273">
        <f>(Table1_1[[#This Row],[Total sales]]*Table1_1[[#This Row],[Commission]])+Table1_1[[#This Row],[Total sales]]</f>
        <v>1626.1</v>
      </c>
    </row>
    <row r="274" spans="1:9" x14ac:dyDescent="0.3">
      <c r="A274" s="1">
        <v>43306</v>
      </c>
      <c r="B274" t="s">
        <v>13</v>
      </c>
      <c r="C274" t="s">
        <v>8</v>
      </c>
      <c r="D274">
        <v>16</v>
      </c>
      <c r="E274">
        <v>230</v>
      </c>
      <c r="F274">
        <v>7.0000000000000007E-2</v>
      </c>
      <c r="G274" t="s">
        <v>14</v>
      </c>
      <c r="H274">
        <v>3680</v>
      </c>
      <c r="I274">
        <f>(Table1_1[[#This Row],[Total sales]]*Table1_1[[#This Row],[Commission]])+Table1_1[[#This Row],[Total sales]]</f>
        <v>3937.6</v>
      </c>
    </row>
    <row r="275" spans="1:9" x14ac:dyDescent="0.3">
      <c r="A275" s="1">
        <v>43306</v>
      </c>
      <c r="B275" t="s">
        <v>7</v>
      </c>
      <c r="C275" t="s">
        <v>11</v>
      </c>
      <c r="D275">
        <v>14</v>
      </c>
      <c r="E275">
        <v>80</v>
      </c>
      <c r="F275">
        <v>0.11</v>
      </c>
      <c r="G275" t="s">
        <v>15</v>
      </c>
      <c r="H275">
        <v>1120</v>
      </c>
      <c r="I275">
        <f>(Table1_1[[#This Row],[Total sales]]*Table1_1[[#This Row],[Commission]])+Table1_1[[#This Row],[Total sales]]</f>
        <v>1243.2</v>
      </c>
    </row>
    <row r="276" spans="1:9" x14ac:dyDescent="0.3">
      <c r="A276" s="1">
        <v>43306</v>
      </c>
      <c r="B276" t="s">
        <v>23</v>
      </c>
      <c r="C276" t="s">
        <v>16</v>
      </c>
      <c r="D276">
        <v>22</v>
      </c>
      <c r="E276">
        <v>150</v>
      </c>
      <c r="F276">
        <v>0.09</v>
      </c>
      <c r="G276" t="s">
        <v>17</v>
      </c>
      <c r="H276">
        <v>3300</v>
      </c>
      <c r="I276">
        <f>(Table1_1[[#This Row],[Total sales]]*Table1_1[[#This Row],[Commission]])+Table1_1[[#This Row],[Total sales]]</f>
        <v>3597</v>
      </c>
    </row>
    <row r="277" spans="1:9" x14ac:dyDescent="0.3">
      <c r="A277" s="1">
        <v>43306</v>
      </c>
      <c r="B277" t="s">
        <v>23</v>
      </c>
      <c r="C277" t="s">
        <v>18</v>
      </c>
      <c r="D277">
        <v>4</v>
      </c>
      <c r="E277">
        <v>150</v>
      </c>
      <c r="F277">
        <v>0.12</v>
      </c>
      <c r="G277" t="s">
        <v>19</v>
      </c>
      <c r="H277">
        <v>600</v>
      </c>
      <c r="I277">
        <f>(Table1_1[[#This Row],[Total sales]]*Table1_1[[#This Row],[Commission]])+Table1_1[[#This Row],[Total sales]]</f>
        <v>672</v>
      </c>
    </row>
    <row r="278" spans="1:9" x14ac:dyDescent="0.3">
      <c r="A278" s="1">
        <v>43306</v>
      </c>
      <c r="B278" t="s">
        <v>23</v>
      </c>
      <c r="C278" t="s">
        <v>8</v>
      </c>
      <c r="D278">
        <v>3</v>
      </c>
      <c r="E278">
        <v>150</v>
      </c>
      <c r="F278">
        <v>0.03</v>
      </c>
      <c r="G278" t="s">
        <v>22</v>
      </c>
      <c r="H278">
        <v>450</v>
      </c>
      <c r="I278">
        <f>(Table1_1[[#This Row],[Total sales]]*Table1_1[[#This Row],[Commission]])+Table1_1[[#This Row],[Total sales]]</f>
        <v>463.5</v>
      </c>
    </row>
    <row r="279" spans="1:9" x14ac:dyDescent="0.3">
      <c r="A279" s="1">
        <v>43306</v>
      </c>
      <c r="B279" t="s">
        <v>10</v>
      </c>
      <c r="C279" t="s">
        <v>21</v>
      </c>
      <c r="D279">
        <v>17</v>
      </c>
      <c r="E279">
        <v>40</v>
      </c>
      <c r="F279">
        <v>0.02</v>
      </c>
      <c r="G279" t="s">
        <v>24</v>
      </c>
      <c r="H279">
        <v>680</v>
      </c>
      <c r="I279">
        <f>(Table1_1[[#This Row],[Total sales]]*Table1_1[[#This Row],[Commission]])+Table1_1[[#This Row],[Total sales]]</f>
        <v>693.6</v>
      </c>
    </row>
    <row r="280" spans="1:9" x14ac:dyDescent="0.3">
      <c r="A280" s="1">
        <v>43306</v>
      </c>
      <c r="B280" t="s">
        <v>7</v>
      </c>
      <c r="C280" t="s">
        <v>21</v>
      </c>
      <c r="D280">
        <v>22</v>
      </c>
      <c r="E280">
        <v>80</v>
      </c>
      <c r="F280">
        <v>0.1</v>
      </c>
      <c r="G280" t="s">
        <v>25</v>
      </c>
      <c r="H280">
        <v>1760</v>
      </c>
      <c r="I280">
        <f>(Table1_1[[#This Row],[Total sales]]*Table1_1[[#This Row],[Commission]])+Table1_1[[#This Row],[Total sales]]</f>
        <v>1936</v>
      </c>
    </row>
    <row r="281" spans="1:9" x14ac:dyDescent="0.3">
      <c r="A281" s="1">
        <v>43306</v>
      </c>
      <c r="B281" t="s">
        <v>23</v>
      </c>
      <c r="C281" t="s">
        <v>21</v>
      </c>
      <c r="D281">
        <v>18</v>
      </c>
      <c r="E281">
        <v>150</v>
      </c>
      <c r="F281">
        <v>0.12</v>
      </c>
      <c r="G281" t="s">
        <v>26</v>
      </c>
      <c r="H281">
        <v>2700</v>
      </c>
      <c r="I281">
        <f>(Table1_1[[#This Row],[Total sales]]*Table1_1[[#This Row],[Commission]])+Table1_1[[#This Row],[Total sales]]</f>
        <v>3024</v>
      </c>
    </row>
    <row r="282" spans="1:9" x14ac:dyDescent="0.3">
      <c r="A282" s="1">
        <v>43307</v>
      </c>
      <c r="B282" t="s">
        <v>23</v>
      </c>
      <c r="C282" t="s">
        <v>8</v>
      </c>
      <c r="D282">
        <v>4</v>
      </c>
      <c r="E282">
        <v>150</v>
      </c>
      <c r="F282">
        <v>0.06</v>
      </c>
      <c r="G282" t="s">
        <v>9</v>
      </c>
      <c r="H282">
        <v>600</v>
      </c>
      <c r="I282">
        <f>(Table1_1[[#This Row],[Total sales]]*Table1_1[[#This Row],[Commission]])+Table1_1[[#This Row],[Total sales]]</f>
        <v>636</v>
      </c>
    </row>
    <row r="283" spans="1:9" x14ac:dyDescent="0.3">
      <c r="A283" s="1">
        <v>43307</v>
      </c>
      <c r="B283" t="s">
        <v>13</v>
      </c>
      <c r="C283" t="s">
        <v>11</v>
      </c>
      <c r="D283">
        <v>22</v>
      </c>
      <c r="E283">
        <v>230</v>
      </c>
      <c r="F283">
        <v>0.04</v>
      </c>
      <c r="G283" t="s">
        <v>12</v>
      </c>
      <c r="H283">
        <v>5060</v>
      </c>
      <c r="I283">
        <f>(Table1_1[[#This Row],[Total sales]]*Table1_1[[#This Row],[Commission]])+Table1_1[[#This Row],[Total sales]]</f>
        <v>5262.4</v>
      </c>
    </row>
    <row r="284" spans="1:9" x14ac:dyDescent="0.3">
      <c r="A284" s="1">
        <v>43307</v>
      </c>
      <c r="B284" t="s">
        <v>23</v>
      </c>
      <c r="C284" t="s">
        <v>11</v>
      </c>
      <c r="D284">
        <v>15</v>
      </c>
      <c r="E284">
        <v>150</v>
      </c>
      <c r="F284">
        <v>0.12</v>
      </c>
      <c r="G284" t="s">
        <v>14</v>
      </c>
      <c r="H284">
        <v>2250</v>
      </c>
      <c r="I284">
        <f>(Table1_1[[#This Row],[Total sales]]*Table1_1[[#This Row],[Commission]])+Table1_1[[#This Row],[Total sales]]</f>
        <v>2520</v>
      </c>
    </row>
    <row r="285" spans="1:9" x14ac:dyDescent="0.3">
      <c r="A285" s="1">
        <v>43307</v>
      </c>
      <c r="B285" t="s">
        <v>7</v>
      </c>
      <c r="C285" t="s">
        <v>8</v>
      </c>
      <c r="D285">
        <v>17</v>
      </c>
      <c r="E285">
        <v>80</v>
      </c>
      <c r="F285">
        <v>7.0000000000000007E-2</v>
      </c>
      <c r="G285" t="s">
        <v>15</v>
      </c>
      <c r="H285">
        <v>1360</v>
      </c>
      <c r="I285">
        <f>(Table1_1[[#This Row],[Total sales]]*Table1_1[[#This Row],[Commission]])+Table1_1[[#This Row],[Total sales]]</f>
        <v>1455.2</v>
      </c>
    </row>
    <row r="286" spans="1:9" x14ac:dyDescent="0.3">
      <c r="A286" s="1">
        <v>43307</v>
      </c>
      <c r="B286" t="s">
        <v>10</v>
      </c>
      <c r="C286" t="s">
        <v>21</v>
      </c>
      <c r="D286">
        <v>10</v>
      </c>
      <c r="E286">
        <v>40</v>
      </c>
      <c r="F286">
        <v>0.03</v>
      </c>
      <c r="G286" t="s">
        <v>17</v>
      </c>
      <c r="H286">
        <v>400</v>
      </c>
      <c r="I286">
        <f>(Table1_1[[#This Row],[Total sales]]*Table1_1[[#This Row],[Commission]])+Table1_1[[#This Row],[Total sales]]</f>
        <v>412</v>
      </c>
    </row>
    <row r="287" spans="1:9" x14ac:dyDescent="0.3">
      <c r="A287" s="1">
        <v>43307</v>
      </c>
      <c r="B287" t="s">
        <v>10</v>
      </c>
      <c r="C287" t="s">
        <v>8</v>
      </c>
      <c r="D287">
        <v>23</v>
      </c>
      <c r="E287">
        <v>40</v>
      </c>
      <c r="F287">
        <v>7.0000000000000007E-2</v>
      </c>
      <c r="G287" t="s">
        <v>19</v>
      </c>
      <c r="H287">
        <v>920</v>
      </c>
      <c r="I287">
        <f>(Table1_1[[#This Row],[Total sales]]*Table1_1[[#This Row],[Commission]])+Table1_1[[#This Row],[Total sales]]</f>
        <v>984.4</v>
      </c>
    </row>
    <row r="288" spans="1:9" x14ac:dyDescent="0.3">
      <c r="A288" s="1">
        <v>43307</v>
      </c>
      <c r="B288" t="s">
        <v>20</v>
      </c>
      <c r="C288" t="s">
        <v>11</v>
      </c>
      <c r="D288">
        <v>22</v>
      </c>
      <c r="E288">
        <v>16</v>
      </c>
      <c r="F288">
        <v>0.04</v>
      </c>
      <c r="G288" t="s">
        <v>22</v>
      </c>
      <c r="H288">
        <v>352</v>
      </c>
      <c r="I288">
        <f>(Table1_1[[#This Row],[Total sales]]*Table1_1[[#This Row],[Commission]])+Table1_1[[#This Row],[Total sales]]</f>
        <v>366.08</v>
      </c>
    </row>
    <row r="289" spans="1:9" x14ac:dyDescent="0.3">
      <c r="A289" s="1">
        <v>43307</v>
      </c>
      <c r="B289" t="s">
        <v>7</v>
      </c>
      <c r="C289" t="s">
        <v>16</v>
      </c>
      <c r="D289">
        <v>8</v>
      </c>
      <c r="E289">
        <v>80</v>
      </c>
      <c r="F289">
        <v>0.02</v>
      </c>
      <c r="G289" t="s">
        <v>24</v>
      </c>
      <c r="H289">
        <v>640</v>
      </c>
      <c r="I289">
        <f>(Table1_1[[#This Row],[Total sales]]*Table1_1[[#This Row],[Commission]])+Table1_1[[#This Row],[Total sales]]</f>
        <v>652.79999999999995</v>
      </c>
    </row>
    <row r="290" spans="1:9" x14ac:dyDescent="0.3">
      <c r="A290" s="1">
        <v>43307</v>
      </c>
      <c r="B290" t="s">
        <v>20</v>
      </c>
      <c r="C290" t="s">
        <v>11</v>
      </c>
      <c r="D290">
        <v>4</v>
      </c>
      <c r="E290">
        <v>16</v>
      </c>
      <c r="F290">
        <v>0.09</v>
      </c>
      <c r="G290" t="s">
        <v>25</v>
      </c>
      <c r="H290">
        <v>64</v>
      </c>
      <c r="I290">
        <f>(Table1_1[[#This Row],[Total sales]]*Table1_1[[#This Row],[Commission]])+Table1_1[[#This Row],[Total sales]]</f>
        <v>69.760000000000005</v>
      </c>
    </row>
    <row r="291" spans="1:9" x14ac:dyDescent="0.3">
      <c r="A291" s="1">
        <v>43307</v>
      </c>
      <c r="B291" t="s">
        <v>10</v>
      </c>
      <c r="C291" t="s">
        <v>18</v>
      </c>
      <c r="D291">
        <v>11</v>
      </c>
      <c r="E291">
        <v>40</v>
      </c>
      <c r="F291">
        <v>0.09</v>
      </c>
      <c r="G291" t="s">
        <v>26</v>
      </c>
      <c r="H291">
        <v>440</v>
      </c>
      <c r="I291">
        <f>(Table1_1[[#This Row],[Total sales]]*Table1_1[[#This Row],[Commission]])+Table1_1[[#This Row],[Total sales]]</f>
        <v>479.6</v>
      </c>
    </row>
    <row r="292" spans="1:9" x14ac:dyDescent="0.3">
      <c r="A292" s="1">
        <v>43307</v>
      </c>
      <c r="B292" t="s">
        <v>13</v>
      </c>
      <c r="C292" t="s">
        <v>16</v>
      </c>
      <c r="D292">
        <v>18</v>
      </c>
      <c r="E292">
        <v>230</v>
      </c>
      <c r="F292">
        <v>0.01</v>
      </c>
      <c r="G292" t="s">
        <v>27</v>
      </c>
      <c r="H292">
        <v>4140</v>
      </c>
      <c r="I292">
        <f>(Table1_1[[#This Row],[Total sales]]*Table1_1[[#This Row],[Commission]])+Table1_1[[#This Row],[Total sales]]</f>
        <v>4181.3999999999996</v>
      </c>
    </row>
    <row r="293" spans="1:9" x14ac:dyDescent="0.3">
      <c r="A293" s="1">
        <v>43308</v>
      </c>
      <c r="B293" t="s">
        <v>13</v>
      </c>
      <c r="C293" t="s">
        <v>11</v>
      </c>
      <c r="D293">
        <v>11</v>
      </c>
      <c r="E293">
        <v>230</v>
      </c>
      <c r="F293">
        <v>0.1</v>
      </c>
      <c r="G293" t="s">
        <v>28</v>
      </c>
      <c r="H293">
        <v>2530</v>
      </c>
      <c r="I293">
        <f>(Table1_1[[#This Row],[Total sales]]*Table1_1[[#This Row],[Commission]])+Table1_1[[#This Row],[Total sales]]</f>
        <v>2783</v>
      </c>
    </row>
    <row r="294" spans="1:9" x14ac:dyDescent="0.3">
      <c r="A294" s="1">
        <v>43308</v>
      </c>
      <c r="B294" t="s">
        <v>13</v>
      </c>
      <c r="C294" t="s">
        <v>8</v>
      </c>
      <c r="D294">
        <v>15</v>
      </c>
      <c r="E294">
        <v>230</v>
      </c>
      <c r="F294">
        <v>0.05</v>
      </c>
      <c r="G294" t="s">
        <v>9</v>
      </c>
      <c r="H294">
        <v>3450</v>
      </c>
      <c r="I294">
        <f>(Table1_1[[#This Row],[Total sales]]*Table1_1[[#This Row],[Commission]])+Table1_1[[#This Row],[Total sales]]</f>
        <v>3622.5</v>
      </c>
    </row>
    <row r="295" spans="1:9" x14ac:dyDescent="0.3">
      <c r="A295" s="1">
        <v>43308</v>
      </c>
      <c r="B295" t="s">
        <v>10</v>
      </c>
      <c r="C295" t="s">
        <v>21</v>
      </c>
      <c r="D295">
        <v>7</v>
      </c>
      <c r="E295">
        <v>40</v>
      </c>
      <c r="F295">
        <v>0.04</v>
      </c>
      <c r="G295" t="s">
        <v>12</v>
      </c>
      <c r="H295">
        <v>280</v>
      </c>
      <c r="I295">
        <f>(Table1_1[[#This Row],[Total sales]]*Table1_1[[#This Row],[Commission]])+Table1_1[[#This Row],[Total sales]]</f>
        <v>291.2</v>
      </c>
    </row>
    <row r="296" spans="1:9" x14ac:dyDescent="0.3">
      <c r="A296" s="1">
        <v>43308</v>
      </c>
      <c r="B296" t="s">
        <v>23</v>
      </c>
      <c r="C296" t="s">
        <v>16</v>
      </c>
      <c r="D296">
        <v>20</v>
      </c>
      <c r="E296">
        <v>150</v>
      </c>
      <c r="F296">
        <v>0.12</v>
      </c>
      <c r="G296" t="s">
        <v>14</v>
      </c>
      <c r="H296">
        <v>3000</v>
      </c>
      <c r="I296">
        <f>(Table1_1[[#This Row],[Total sales]]*Table1_1[[#This Row],[Commission]])+Table1_1[[#This Row],[Total sales]]</f>
        <v>3360</v>
      </c>
    </row>
    <row r="297" spans="1:9" x14ac:dyDescent="0.3">
      <c r="A297" s="1">
        <v>43308</v>
      </c>
      <c r="B297" t="s">
        <v>7</v>
      </c>
      <c r="C297" t="s">
        <v>16</v>
      </c>
      <c r="D297">
        <v>5</v>
      </c>
      <c r="E297">
        <v>80</v>
      </c>
      <c r="F297">
        <v>0.09</v>
      </c>
      <c r="G297" t="s">
        <v>15</v>
      </c>
      <c r="H297">
        <v>400</v>
      </c>
      <c r="I297">
        <f>(Table1_1[[#This Row],[Total sales]]*Table1_1[[#This Row],[Commission]])+Table1_1[[#This Row],[Total sales]]</f>
        <v>436</v>
      </c>
    </row>
    <row r="298" spans="1:9" x14ac:dyDescent="0.3">
      <c r="A298" s="1">
        <v>43308</v>
      </c>
      <c r="B298" t="s">
        <v>7</v>
      </c>
      <c r="C298" t="s">
        <v>18</v>
      </c>
      <c r="D298">
        <v>14</v>
      </c>
      <c r="E298">
        <v>80</v>
      </c>
      <c r="F298">
        <v>0.05</v>
      </c>
      <c r="G298" t="s">
        <v>17</v>
      </c>
      <c r="H298">
        <v>1120</v>
      </c>
      <c r="I298">
        <f>(Table1_1[[#This Row],[Total sales]]*Table1_1[[#This Row],[Commission]])+Table1_1[[#This Row],[Total sales]]</f>
        <v>1176</v>
      </c>
    </row>
    <row r="299" spans="1:9" x14ac:dyDescent="0.3">
      <c r="A299" s="1">
        <v>43308</v>
      </c>
      <c r="B299" t="s">
        <v>13</v>
      </c>
      <c r="C299" t="s">
        <v>18</v>
      </c>
      <c r="D299">
        <v>7</v>
      </c>
      <c r="E299">
        <v>230</v>
      </c>
      <c r="F299">
        <v>0.06</v>
      </c>
      <c r="G299" t="s">
        <v>19</v>
      </c>
      <c r="H299">
        <v>1610</v>
      </c>
      <c r="I299">
        <f>(Table1_1[[#This Row],[Total sales]]*Table1_1[[#This Row],[Commission]])+Table1_1[[#This Row],[Total sales]]</f>
        <v>1706.6</v>
      </c>
    </row>
    <row r="300" spans="1:9" x14ac:dyDescent="0.3">
      <c r="A300" s="1">
        <v>43308</v>
      </c>
      <c r="B300" t="s">
        <v>10</v>
      </c>
      <c r="C300" t="s">
        <v>18</v>
      </c>
      <c r="D300">
        <v>13</v>
      </c>
      <c r="E300">
        <v>40</v>
      </c>
      <c r="F300">
        <v>0.06</v>
      </c>
      <c r="G300" t="s">
        <v>22</v>
      </c>
      <c r="H300">
        <v>520</v>
      </c>
      <c r="I300">
        <f>(Table1_1[[#This Row],[Total sales]]*Table1_1[[#This Row],[Commission]])+Table1_1[[#This Row],[Total sales]]</f>
        <v>551.20000000000005</v>
      </c>
    </row>
    <row r="301" spans="1:9" x14ac:dyDescent="0.3">
      <c r="A301" s="1">
        <v>43309</v>
      </c>
      <c r="B301" t="s">
        <v>20</v>
      </c>
      <c r="C301" t="s">
        <v>11</v>
      </c>
      <c r="D301">
        <v>15</v>
      </c>
      <c r="E301">
        <v>16</v>
      </c>
      <c r="F301">
        <v>0.02</v>
      </c>
      <c r="G301" t="s">
        <v>24</v>
      </c>
      <c r="H301">
        <v>240</v>
      </c>
      <c r="I301">
        <f>(Table1_1[[#This Row],[Total sales]]*Table1_1[[#This Row],[Commission]])+Table1_1[[#This Row],[Total sales]]</f>
        <v>244.8</v>
      </c>
    </row>
    <row r="302" spans="1:9" x14ac:dyDescent="0.3">
      <c r="A302" s="1">
        <v>43309</v>
      </c>
      <c r="B302" t="s">
        <v>20</v>
      </c>
      <c r="C302" t="s">
        <v>18</v>
      </c>
      <c r="D302">
        <v>5</v>
      </c>
      <c r="E302">
        <v>16</v>
      </c>
      <c r="F302">
        <v>0.09</v>
      </c>
      <c r="G302" t="s">
        <v>25</v>
      </c>
      <c r="H302">
        <v>80</v>
      </c>
      <c r="I302">
        <f>(Table1_1[[#This Row],[Total sales]]*Table1_1[[#This Row],[Commission]])+Table1_1[[#This Row],[Total sales]]</f>
        <v>87.2</v>
      </c>
    </row>
    <row r="303" spans="1:9" x14ac:dyDescent="0.3">
      <c r="A303" s="1">
        <v>43309</v>
      </c>
      <c r="B303" t="s">
        <v>20</v>
      </c>
      <c r="C303" t="s">
        <v>8</v>
      </c>
      <c r="D303">
        <v>22</v>
      </c>
      <c r="E303">
        <v>16</v>
      </c>
      <c r="F303">
        <v>0.06</v>
      </c>
      <c r="G303" t="s">
        <v>26</v>
      </c>
      <c r="H303">
        <v>352</v>
      </c>
      <c r="I303">
        <f>(Table1_1[[#This Row],[Total sales]]*Table1_1[[#This Row],[Commission]])+Table1_1[[#This Row],[Total sales]]</f>
        <v>373.12</v>
      </c>
    </row>
    <row r="304" spans="1:9" x14ac:dyDescent="0.3">
      <c r="A304" s="1">
        <v>43309</v>
      </c>
      <c r="B304" t="s">
        <v>23</v>
      </c>
      <c r="C304" t="s">
        <v>16</v>
      </c>
      <c r="D304">
        <v>15</v>
      </c>
      <c r="E304">
        <v>150</v>
      </c>
      <c r="F304">
        <v>0.05</v>
      </c>
      <c r="G304" t="s">
        <v>27</v>
      </c>
      <c r="H304">
        <v>2250</v>
      </c>
      <c r="I304">
        <f>(Table1_1[[#This Row],[Total sales]]*Table1_1[[#This Row],[Commission]])+Table1_1[[#This Row],[Total sales]]</f>
        <v>2362.5</v>
      </c>
    </row>
    <row r="305" spans="1:9" x14ac:dyDescent="0.3">
      <c r="A305" s="1">
        <v>43309</v>
      </c>
      <c r="B305" t="s">
        <v>13</v>
      </c>
      <c r="C305" t="s">
        <v>16</v>
      </c>
      <c r="D305">
        <v>5</v>
      </c>
      <c r="E305">
        <v>230</v>
      </c>
      <c r="F305">
        <v>0.01</v>
      </c>
      <c r="G305" t="s">
        <v>28</v>
      </c>
      <c r="H305">
        <v>1150</v>
      </c>
      <c r="I305">
        <f>(Table1_1[[#This Row],[Total sales]]*Table1_1[[#This Row],[Commission]])+Table1_1[[#This Row],[Total sales]]</f>
        <v>1161.5</v>
      </c>
    </row>
    <row r="306" spans="1:9" x14ac:dyDescent="0.3">
      <c r="A306" s="1">
        <v>43309</v>
      </c>
      <c r="B306" t="s">
        <v>10</v>
      </c>
      <c r="C306" t="s">
        <v>8</v>
      </c>
      <c r="D306">
        <v>11</v>
      </c>
      <c r="E306">
        <v>40</v>
      </c>
      <c r="F306">
        <v>0.04</v>
      </c>
      <c r="G306" t="s">
        <v>9</v>
      </c>
      <c r="H306">
        <v>440</v>
      </c>
      <c r="I306">
        <f>(Table1_1[[#This Row],[Total sales]]*Table1_1[[#This Row],[Commission]])+Table1_1[[#This Row],[Total sales]]</f>
        <v>457.6</v>
      </c>
    </row>
    <row r="307" spans="1:9" x14ac:dyDescent="0.3">
      <c r="A307" s="1">
        <v>43309</v>
      </c>
      <c r="B307" t="s">
        <v>23</v>
      </c>
      <c r="C307" t="s">
        <v>11</v>
      </c>
      <c r="D307">
        <v>13</v>
      </c>
      <c r="E307">
        <v>150</v>
      </c>
      <c r="F307">
        <v>0.08</v>
      </c>
      <c r="G307" t="s">
        <v>12</v>
      </c>
      <c r="H307">
        <v>1950</v>
      </c>
      <c r="I307">
        <f>(Table1_1[[#This Row],[Total sales]]*Table1_1[[#This Row],[Commission]])+Table1_1[[#This Row],[Total sales]]</f>
        <v>2106</v>
      </c>
    </row>
    <row r="308" spans="1:9" x14ac:dyDescent="0.3">
      <c r="A308" s="1">
        <v>43309</v>
      </c>
      <c r="B308" t="s">
        <v>20</v>
      </c>
      <c r="C308" t="s">
        <v>21</v>
      </c>
      <c r="D308">
        <v>13</v>
      </c>
      <c r="E308">
        <v>16</v>
      </c>
      <c r="F308">
        <v>7.0000000000000007E-2</v>
      </c>
      <c r="G308" t="s">
        <v>14</v>
      </c>
      <c r="H308">
        <v>208</v>
      </c>
      <c r="I308">
        <f>(Table1_1[[#This Row],[Total sales]]*Table1_1[[#This Row],[Commission]])+Table1_1[[#This Row],[Total sales]]</f>
        <v>222.56</v>
      </c>
    </row>
    <row r="309" spans="1:9" x14ac:dyDescent="0.3">
      <c r="A309" s="1">
        <v>43309</v>
      </c>
      <c r="B309" t="s">
        <v>20</v>
      </c>
      <c r="C309" t="s">
        <v>21</v>
      </c>
      <c r="D309">
        <v>3</v>
      </c>
      <c r="E309">
        <v>16</v>
      </c>
      <c r="F309">
        <v>0.03</v>
      </c>
      <c r="G309" t="s">
        <v>15</v>
      </c>
      <c r="H309">
        <v>48</v>
      </c>
      <c r="I309">
        <f>(Table1_1[[#This Row],[Total sales]]*Table1_1[[#This Row],[Commission]])+Table1_1[[#This Row],[Total sales]]</f>
        <v>49.44</v>
      </c>
    </row>
    <row r="310" spans="1:9" x14ac:dyDescent="0.3">
      <c r="A310" s="1">
        <v>43310</v>
      </c>
      <c r="B310" t="s">
        <v>23</v>
      </c>
      <c r="C310" t="s">
        <v>11</v>
      </c>
      <c r="D310">
        <v>2</v>
      </c>
      <c r="E310">
        <v>150</v>
      </c>
      <c r="F310">
        <v>0.09</v>
      </c>
      <c r="G310" t="s">
        <v>17</v>
      </c>
      <c r="H310">
        <v>300</v>
      </c>
      <c r="I310">
        <f>(Table1_1[[#This Row],[Total sales]]*Table1_1[[#This Row],[Commission]])+Table1_1[[#This Row],[Total sales]]</f>
        <v>327</v>
      </c>
    </row>
    <row r="311" spans="1:9" x14ac:dyDescent="0.3">
      <c r="A311" s="1">
        <v>43310</v>
      </c>
      <c r="B311" t="s">
        <v>13</v>
      </c>
      <c r="C311" t="s">
        <v>16</v>
      </c>
      <c r="D311">
        <v>14</v>
      </c>
      <c r="E311">
        <v>230</v>
      </c>
      <c r="F311">
        <v>0.03</v>
      </c>
      <c r="G311" t="s">
        <v>19</v>
      </c>
      <c r="H311">
        <v>3220</v>
      </c>
      <c r="I311">
        <f>(Table1_1[[#This Row],[Total sales]]*Table1_1[[#This Row],[Commission]])+Table1_1[[#This Row],[Total sales]]</f>
        <v>3316.6</v>
      </c>
    </row>
    <row r="312" spans="1:9" x14ac:dyDescent="0.3">
      <c r="A312" s="1">
        <v>43310</v>
      </c>
      <c r="B312" t="s">
        <v>10</v>
      </c>
      <c r="C312" t="s">
        <v>16</v>
      </c>
      <c r="D312">
        <v>11</v>
      </c>
      <c r="E312">
        <v>40</v>
      </c>
      <c r="F312">
        <v>0.12</v>
      </c>
      <c r="G312" t="s">
        <v>22</v>
      </c>
      <c r="H312">
        <v>440</v>
      </c>
      <c r="I312">
        <f>(Table1_1[[#This Row],[Total sales]]*Table1_1[[#This Row],[Commission]])+Table1_1[[#This Row],[Total sales]]</f>
        <v>492.8</v>
      </c>
    </row>
    <row r="313" spans="1:9" x14ac:dyDescent="0.3">
      <c r="A313" s="1">
        <v>43310</v>
      </c>
      <c r="B313" t="s">
        <v>20</v>
      </c>
      <c r="C313" t="s">
        <v>21</v>
      </c>
      <c r="D313">
        <v>3</v>
      </c>
      <c r="E313">
        <v>16</v>
      </c>
      <c r="F313">
        <v>0.06</v>
      </c>
      <c r="G313" t="s">
        <v>24</v>
      </c>
      <c r="H313">
        <v>48</v>
      </c>
      <c r="I313">
        <f>(Table1_1[[#This Row],[Total sales]]*Table1_1[[#This Row],[Commission]])+Table1_1[[#This Row],[Total sales]]</f>
        <v>50.88</v>
      </c>
    </row>
    <row r="314" spans="1:9" x14ac:dyDescent="0.3">
      <c r="A314" s="1">
        <v>43310</v>
      </c>
      <c r="B314" t="s">
        <v>10</v>
      </c>
      <c r="C314" t="s">
        <v>21</v>
      </c>
      <c r="D314">
        <v>18</v>
      </c>
      <c r="E314">
        <v>40</v>
      </c>
      <c r="F314">
        <v>0.06</v>
      </c>
      <c r="G314" t="s">
        <v>25</v>
      </c>
      <c r="H314">
        <v>720</v>
      </c>
      <c r="I314">
        <f>(Table1_1[[#This Row],[Total sales]]*Table1_1[[#This Row],[Commission]])+Table1_1[[#This Row],[Total sales]]</f>
        <v>763.2</v>
      </c>
    </row>
    <row r="315" spans="1:9" x14ac:dyDescent="0.3">
      <c r="A315" s="1">
        <v>43310</v>
      </c>
      <c r="B315" t="s">
        <v>13</v>
      </c>
      <c r="C315" t="s">
        <v>21</v>
      </c>
      <c r="D315">
        <v>7</v>
      </c>
      <c r="E315">
        <v>230</v>
      </c>
      <c r="F315">
        <v>0.05</v>
      </c>
      <c r="G315" t="s">
        <v>26</v>
      </c>
      <c r="H315">
        <v>1610</v>
      </c>
      <c r="I315">
        <f>(Table1_1[[#This Row],[Total sales]]*Table1_1[[#This Row],[Commission]])+Table1_1[[#This Row],[Total sales]]</f>
        <v>1690.5</v>
      </c>
    </row>
    <row r="316" spans="1:9" x14ac:dyDescent="0.3">
      <c r="A316" s="1">
        <v>43310</v>
      </c>
      <c r="B316" t="s">
        <v>10</v>
      </c>
      <c r="C316" t="s">
        <v>21</v>
      </c>
      <c r="D316">
        <v>23</v>
      </c>
      <c r="E316">
        <v>40</v>
      </c>
      <c r="F316">
        <v>0.05</v>
      </c>
      <c r="G316" t="s">
        <v>27</v>
      </c>
      <c r="H316">
        <v>920</v>
      </c>
      <c r="I316">
        <f>(Table1_1[[#This Row],[Total sales]]*Table1_1[[#This Row],[Commission]])+Table1_1[[#This Row],[Total sales]]</f>
        <v>966</v>
      </c>
    </row>
    <row r="317" spans="1:9" x14ac:dyDescent="0.3">
      <c r="A317" s="1">
        <v>43311</v>
      </c>
      <c r="B317" t="s">
        <v>13</v>
      </c>
      <c r="C317" t="s">
        <v>21</v>
      </c>
      <c r="D317">
        <v>2</v>
      </c>
      <c r="E317">
        <v>230</v>
      </c>
      <c r="F317">
        <v>0.08</v>
      </c>
      <c r="G317" t="s">
        <v>28</v>
      </c>
      <c r="H317">
        <v>460</v>
      </c>
      <c r="I317">
        <f>(Table1_1[[#This Row],[Total sales]]*Table1_1[[#This Row],[Commission]])+Table1_1[[#This Row],[Total sales]]</f>
        <v>496.8</v>
      </c>
    </row>
    <row r="318" spans="1:9" x14ac:dyDescent="0.3">
      <c r="A318" s="1">
        <v>43311</v>
      </c>
      <c r="B318" t="s">
        <v>10</v>
      </c>
      <c r="C318" t="s">
        <v>18</v>
      </c>
      <c r="D318">
        <v>18</v>
      </c>
      <c r="E318">
        <v>40</v>
      </c>
      <c r="F318">
        <v>0.04</v>
      </c>
      <c r="G318" t="s">
        <v>9</v>
      </c>
      <c r="H318">
        <v>720</v>
      </c>
      <c r="I318">
        <f>(Table1_1[[#This Row],[Total sales]]*Table1_1[[#This Row],[Commission]])+Table1_1[[#This Row],[Total sales]]</f>
        <v>748.8</v>
      </c>
    </row>
    <row r="319" spans="1:9" x14ac:dyDescent="0.3">
      <c r="A319" s="1">
        <v>43311</v>
      </c>
      <c r="B319" t="s">
        <v>13</v>
      </c>
      <c r="C319" t="s">
        <v>11</v>
      </c>
      <c r="D319">
        <v>7</v>
      </c>
      <c r="E319">
        <v>230</v>
      </c>
      <c r="F319">
        <v>0.05</v>
      </c>
      <c r="G319" t="s">
        <v>12</v>
      </c>
      <c r="H319">
        <v>1610</v>
      </c>
      <c r="I319">
        <f>(Table1_1[[#This Row],[Total sales]]*Table1_1[[#This Row],[Commission]])+Table1_1[[#This Row],[Total sales]]</f>
        <v>1690.5</v>
      </c>
    </row>
    <row r="320" spans="1:9" x14ac:dyDescent="0.3">
      <c r="A320" s="1">
        <v>43311</v>
      </c>
      <c r="B320" t="s">
        <v>10</v>
      </c>
      <c r="C320" t="s">
        <v>21</v>
      </c>
      <c r="D320">
        <v>14</v>
      </c>
      <c r="E320">
        <v>40</v>
      </c>
      <c r="F320">
        <v>0.11</v>
      </c>
      <c r="G320" t="s">
        <v>14</v>
      </c>
      <c r="H320">
        <v>560</v>
      </c>
      <c r="I320">
        <f>(Table1_1[[#This Row],[Total sales]]*Table1_1[[#This Row],[Commission]])+Table1_1[[#This Row],[Total sales]]</f>
        <v>621.6</v>
      </c>
    </row>
    <row r="321" spans="1:9" x14ac:dyDescent="0.3">
      <c r="A321" s="1">
        <v>43311</v>
      </c>
      <c r="B321" t="s">
        <v>23</v>
      </c>
      <c r="C321" t="s">
        <v>11</v>
      </c>
      <c r="D321">
        <v>13</v>
      </c>
      <c r="E321">
        <v>150</v>
      </c>
      <c r="F321">
        <v>0.02</v>
      </c>
      <c r="G321" t="s">
        <v>15</v>
      </c>
      <c r="H321">
        <v>1950</v>
      </c>
      <c r="I321">
        <f>(Table1_1[[#This Row],[Total sales]]*Table1_1[[#This Row],[Commission]])+Table1_1[[#This Row],[Total sales]]</f>
        <v>1989</v>
      </c>
    </row>
    <row r="322" spans="1:9" x14ac:dyDescent="0.3">
      <c r="A322" s="1">
        <v>43311</v>
      </c>
      <c r="B322" t="s">
        <v>7</v>
      </c>
      <c r="C322" t="s">
        <v>8</v>
      </c>
      <c r="D322">
        <v>12</v>
      </c>
      <c r="E322">
        <v>80</v>
      </c>
      <c r="F322">
        <v>0.04</v>
      </c>
      <c r="G322" t="s">
        <v>17</v>
      </c>
      <c r="H322">
        <v>960</v>
      </c>
      <c r="I322">
        <f>(Table1_1[[#This Row],[Total sales]]*Table1_1[[#This Row],[Commission]])+Table1_1[[#This Row],[Total sales]]</f>
        <v>998.4</v>
      </c>
    </row>
    <row r="323" spans="1:9" x14ac:dyDescent="0.3">
      <c r="A323" s="1">
        <v>43311</v>
      </c>
      <c r="B323" t="s">
        <v>13</v>
      </c>
      <c r="C323" t="s">
        <v>21</v>
      </c>
      <c r="D323">
        <v>20</v>
      </c>
      <c r="E323">
        <v>230</v>
      </c>
      <c r="F323">
        <v>0.09</v>
      </c>
      <c r="G323" t="s">
        <v>19</v>
      </c>
      <c r="H323">
        <v>4600</v>
      </c>
      <c r="I323">
        <f>(Table1_1[[#This Row],[Total sales]]*Table1_1[[#This Row],[Commission]])+Table1_1[[#This Row],[Total sales]]</f>
        <v>5014</v>
      </c>
    </row>
    <row r="324" spans="1:9" x14ac:dyDescent="0.3">
      <c r="A324" s="1">
        <v>43311</v>
      </c>
      <c r="B324" t="s">
        <v>10</v>
      </c>
      <c r="C324" t="s">
        <v>21</v>
      </c>
      <c r="D324">
        <v>5</v>
      </c>
      <c r="E324">
        <v>40</v>
      </c>
      <c r="F324">
        <v>0.03</v>
      </c>
      <c r="G324" t="s">
        <v>22</v>
      </c>
      <c r="H324">
        <v>200</v>
      </c>
      <c r="I324">
        <f>(Table1_1[[#This Row],[Total sales]]*Table1_1[[#This Row],[Commission]])+Table1_1[[#This Row],[Total sales]]</f>
        <v>206</v>
      </c>
    </row>
    <row r="325" spans="1:9" x14ac:dyDescent="0.3">
      <c r="A325" s="1">
        <v>43311</v>
      </c>
      <c r="B325" t="s">
        <v>20</v>
      </c>
      <c r="C325" t="s">
        <v>21</v>
      </c>
      <c r="D325">
        <v>2</v>
      </c>
      <c r="E325">
        <v>16</v>
      </c>
      <c r="F325">
        <v>0.04</v>
      </c>
      <c r="G325" t="s">
        <v>24</v>
      </c>
      <c r="H325">
        <v>32</v>
      </c>
      <c r="I325">
        <f>(Table1_1[[#This Row],[Total sales]]*Table1_1[[#This Row],[Commission]])+Table1_1[[#This Row],[Total sales]]</f>
        <v>33.28</v>
      </c>
    </row>
    <row r="326" spans="1:9" x14ac:dyDescent="0.3">
      <c r="A326" s="1">
        <v>43282</v>
      </c>
      <c r="B326" t="s">
        <v>7</v>
      </c>
      <c r="C326" t="s">
        <v>16</v>
      </c>
      <c r="D326">
        <v>10</v>
      </c>
      <c r="E326">
        <v>80</v>
      </c>
      <c r="F326">
        <v>0.08</v>
      </c>
      <c r="G326" t="s">
        <v>25</v>
      </c>
      <c r="H326">
        <v>800</v>
      </c>
      <c r="I326">
        <f>(Table1_1[[#This Row],[Total sales]]*Table1_1[[#This Row],[Commission]])+Table1_1[[#This Row],[Total sales]]</f>
        <v>864</v>
      </c>
    </row>
    <row r="327" spans="1:9" x14ac:dyDescent="0.3">
      <c r="A327" s="1">
        <v>43282</v>
      </c>
      <c r="B327" t="s">
        <v>10</v>
      </c>
      <c r="C327" t="s">
        <v>18</v>
      </c>
      <c r="D327">
        <v>18</v>
      </c>
      <c r="E327">
        <v>40</v>
      </c>
      <c r="F327">
        <v>0.06</v>
      </c>
      <c r="G327" t="s">
        <v>26</v>
      </c>
      <c r="H327">
        <v>720</v>
      </c>
      <c r="I327">
        <f>(Table1_1[[#This Row],[Total sales]]*Table1_1[[#This Row],[Commission]])+Table1_1[[#This Row],[Total sales]]</f>
        <v>763.2</v>
      </c>
    </row>
    <row r="328" spans="1:9" x14ac:dyDescent="0.3">
      <c r="A328" s="1">
        <v>43282</v>
      </c>
      <c r="B328" t="s">
        <v>13</v>
      </c>
      <c r="C328" t="s">
        <v>11</v>
      </c>
      <c r="D328">
        <v>7</v>
      </c>
      <c r="E328">
        <v>230</v>
      </c>
      <c r="F328">
        <v>0.08</v>
      </c>
      <c r="G328" t="s">
        <v>27</v>
      </c>
      <c r="H328">
        <v>1610</v>
      </c>
      <c r="I328">
        <f>(Table1_1[[#This Row],[Total sales]]*Table1_1[[#This Row],[Commission]])+Table1_1[[#This Row],[Total sales]]</f>
        <v>1738.8</v>
      </c>
    </row>
    <row r="329" spans="1:9" x14ac:dyDescent="0.3">
      <c r="A329" s="1">
        <v>43282</v>
      </c>
      <c r="B329" t="s">
        <v>10</v>
      </c>
      <c r="C329" t="s">
        <v>18</v>
      </c>
      <c r="D329">
        <v>15</v>
      </c>
      <c r="E329">
        <v>40</v>
      </c>
      <c r="F329">
        <v>0.03</v>
      </c>
      <c r="G329" t="s">
        <v>28</v>
      </c>
      <c r="H329">
        <v>600</v>
      </c>
      <c r="I329">
        <f>(Table1_1[[#This Row],[Total sales]]*Table1_1[[#This Row],[Commission]])+Table1_1[[#This Row],[Total sales]]</f>
        <v>618</v>
      </c>
    </row>
    <row r="330" spans="1:9" x14ac:dyDescent="0.3">
      <c r="A330" s="1">
        <v>43282</v>
      </c>
      <c r="B330" t="s">
        <v>20</v>
      </c>
      <c r="C330" t="s">
        <v>16</v>
      </c>
      <c r="D330">
        <v>6</v>
      </c>
      <c r="E330">
        <v>16</v>
      </c>
      <c r="F330">
        <v>0.01</v>
      </c>
      <c r="G330" t="s">
        <v>9</v>
      </c>
      <c r="H330">
        <v>96</v>
      </c>
      <c r="I330">
        <f>(Table1_1[[#This Row],[Total sales]]*Table1_1[[#This Row],[Commission]])+Table1_1[[#This Row],[Total sales]]</f>
        <v>96.96</v>
      </c>
    </row>
    <row r="331" spans="1:9" x14ac:dyDescent="0.3">
      <c r="A331" s="1">
        <v>43282</v>
      </c>
      <c r="B331" t="s">
        <v>23</v>
      </c>
      <c r="C331" t="s">
        <v>18</v>
      </c>
      <c r="D331">
        <v>9</v>
      </c>
      <c r="E331">
        <v>150</v>
      </c>
      <c r="F331">
        <v>0.02</v>
      </c>
      <c r="G331" t="s">
        <v>12</v>
      </c>
      <c r="H331">
        <v>1350</v>
      </c>
      <c r="I331">
        <f>(Table1_1[[#This Row],[Total sales]]*Table1_1[[#This Row],[Commission]])+Table1_1[[#This Row],[Total sales]]</f>
        <v>1377</v>
      </c>
    </row>
    <row r="332" spans="1:9" x14ac:dyDescent="0.3">
      <c r="A332" s="1">
        <v>43282</v>
      </c>
      <c r="B332" t="s">
        <v>20</v>
      </c>
      <c r="C332" t="s">
        <v>21</v>
      </c>
      <c r="D332">
        <v>15</v>
      </c>
      <c r="E332">
        <v>16</v>
      </c>
      <c r="F332">
        <v>0.01</v>
      </c>
      <c r="G332" t="s">
        <v>14</v>
      </c>
      <c r="H332">
        <v>240</v>
      </c>
      <c r="I332">
        <f>(Table1_1[[#This Row],[Total sales]]*Table1_1[[#This Row],[Commission]])+Table1_1[[#This Row],[Total sales]]</f>
        <v>242.4</v>
      </c>
    </row>
    <row r="333" spans="1:9" x14ac:dyDescent="0.3">
      <c r="A333" s="1">
        <v>43282</v>
      </c>
      <c r="B333" t="s">
        <v>7</v>
      </c>
      <c r="C333" t="s">
        <v>21</v>
      </c>
      <c r="D333">
        <v>22</v>
      </c>
      <c r="E333">
        <v>80</v>
      </c>
      <c r="F333">
        <v>0.11</v>
      </c>
      <c r="G333" t="s">
        <v>15</v>
      </c>
      <c r="H333">
        <v>1760</v>
      </c>
      <c r="I333">
        <f>(Table1_1[[#This Row],[Total sales]]*Table1_1[[#This Row],[Commission]])+Table1_1[[#This Row],[Total sales]]</f>
        <v>1953.6</v>
      </c>
    </row>
    <row r="334" spans="1:9" x14ac:dyDescent="0.3">
      <c r="A334" s="1">
        <v>43282</v>
      </c>
      <c r="B334" t="s">
        <v>23</v>
      </c>
      <c r="C334" t="s">
        <v>11</v>
      </c>
      <c r="D334">
        <v>13</v>
      </c>
      <c r="E334">
        <v>150</v>
      </c>
      <c r="F334">
        <v>0.02</v>
      </c>
      <c r="G334" t="s">
        <v>17</v>
      </c>
      <c r="H334">
        <v>1950</v>
      </c>
      <c r="I334">
        <f>(Table1_1[[#This Row],[Total sales]]*Table1_1[[#This Row],[Commission]])+Table1_1[[#This Row],[Total sales]]</f>
        <v>1989</v>
      </c>
    </row>
    <row r="335" spans="1:9" x14ac:dyDescent="0.3">
      <c r="A335" s="1">
        <v>43283</v>
      </c>
      <c r="B335" t="s">
        <v>20</v>
      </c>
      <c r="C335" t="s">
        <v>16</v>
      </c>
      <c r="D335">
        <v>12</v>
      </c>
      <c r="E335">
        <v>16</v>
      </c>
      <c r="F335">
        <v>0.03</v>
      </c>
      <c r="G335" t="s">
        <v>19</v>
      </c>
      <c r="H335">
        <v>192</v>
      </c>
      <c r="I335">
        <f>(Table1_1[[#This Row],[Total sales]]*Table1_1[[#This Row],[Commission]])+Table1_1[[#This Row],[Total sales]]</f>
        <v>197.76</v>
      </c>
    </row>
    <row r="336" spans="1:9" x14ac:dyDescent="0.3">
      <c r="A336" s="1">
        <v>43283</v>
      </c>
      <c r="B336" t="s">
        <v>10</v>
      </c>
      <c r="C336" t="s">
        <v>18</v>
      </c>
      <c r="D336">
        <v>4</v>
      </c>
      <c r="E336">
        <v>40</v>
      </c>
      <c r="F336">
        <v>0.05</v>
      </c>
      <c r="G336" t="s">
        <v>22</v>
      </c>
      <c r="H336">
        <v>160</v>
      </c>
      <c r="I336">
        <f>(Table1_1[[#This Row],[Total sales]]*Table1_1[[#This Row],[Commission]])+Table1_1[[#This Row],[Total sales]]</f>
        <v>168</v>
      </c>
    </row>
    <row r="337" spans="1:9" x14ac:dyDescent="0.3">
      <c r="A337" s="1">
        <v>43283</v>
      </c>
      <c r="B337" t="s">
        <v>13</v>
      </c>
      <c r="C337" t="s">
        <v>11</v>
      </c>
      <c r="D337">
        <v>19</v>
      </c>
      <c r="E337">
        <v>230</v>
      </c>
      <c r="F337">
        <v>0.11</v>
      </c>
      <c r="G337" t="s">
        <v>24</v>
      </c>
      <c r="H337">
        <v>4370</v>
      </c>
      <c r="I337">
        <f>(Table1_1[[#This Row],[Total sales]]*Table1_1[[#This Row],[Commission]])+Table1_1[[#This Row],[Total sales]]</f>
        <v>4850.7</v>
      </c>
    </row>
    <row r="338" spans="1:9" x14ac:dyDescent="0.3">
      <c r="A338" s="1">
        <v>43283</v>
      </c>
      <c r="B338" t="s">
        <v>10</v>
      </c>
      <c r="C338" t="s">
        <v>11</v>
      </c>
      <c r="D338">
        <v>4</v>
      </c>
      <c r="E338">
        <v>40</v>
      </c>
      <c r="F338">
        <v>0.06</v>
      </c>
      <c r="G338" t="s">
        <v>25</v>
      </c>
      <c r="H338">
        <v>160</v>
      </c>
      <c r="I338">
        <f>(Table1_1[[#This Row],[Total sales]]*Table1_1[[#This Row],[Commission]])+Table1_1[[#This Row],[Total sales]]</f>
        <v>169.6</v>
      </c>
    </row>
    <row r="339" spans="1:9" x14ac:dyDescent="0.3">
      <c r="A339" s="1">
        <v>43283</v>
      </c>
      <c r="B339" t="s">
        <v>20</v>
      </c>
      <c r="C339" t="s">
        <v>16</v>
      </c>
      <c r="D339">
        <v>6</v>
      </c>
      <c r="E339">
        <v>16</v>
      </c>
      <c r="F339">
        <v>7.0000000000000007E-2</v>
      </c>
      <c r="G339" t="s">
        <v>26</v>
      </c>
      <c r="H339">
        <v>96</v>
      </c>
      <c r="I339">
        <f>(Table1_1[[#This Row],[Total sales]]*Table1_1[[#This Row],[Commission]])+Table1_1[[#This Row],[Total sales]]</f>
        <v>102.72</v>
      </c>
    </row>
    <row r="340" spans="1:9" x14ac:dyDescent="0.3">
      <c r="A340" s="1">
        <v>43283</v>
      </c>
      <c r="B340" t="s">
        <v>13</v>
      </c>
      <c r="C340" t="s">
        <v>16</v>
      </c>
      <c r="D340">
        <v>15</v>
      </c>
      <c r="E340">
        <v>230</v>
      </c>
      <c r="F340">
        <v>0.11</v>
      </c>
      <c r="G340" t="s">
        <v>27</v>
      </c>
      <c r="H340">
        <v>3450</v>
      </c>
      <c r="I340">
        <f>(Table1_1[[#This Row],[Total sales]]*Table1_1[[#This Row],[Commission]])+Table1_1[[#This Row],[Total sales]]</f>
        <v>3829.5</v>
      </c>
    </row>
    <row r="341" spans="1:9" x14ac:dyDescent="0.3">
      <c r="A341" s="1">
        <v>43283</v>
      </c>
      <c r="B341" t="s">
        <v>7</v>
      </c>
      <c r="C341" t="s">
        <v>16</v>
      </c>
      <c r="D341">
        <v>16</v>
      </c>
      <c r="E341">
        <v>80</v>
      </c>
      <c r="F341">
        <v>0.04</v>
      </c>
      <c r="G341" t="s">
        <v>28</v>
      </c>
      <c r="H341">
        <v>1280</v>
      </c>
      <c r="I341">
        <f>(Table1_1[[#This Row],[Total sales]]*Table1_1[[#This Row],[Commission]])+Table1_1[[#This Row],[Total sales]]</f>
        <v>1331.2</v>
      </c>
    </row>
    <row r="342" spans="1:9" x14ac:dyDescent="0.3">
      <c r="A342" s="1">
        <v>43283</v>
      </c>
      <c r="B342" t="s">
        <v>10</v>
      </c>
      <c r="C342" t="s">
        <v>8</v>
      </c>
      <c r="D342">
        <v>7</v>
      </c>
      <c r="E342">
        <v>40</v>
      </c>
      <c r="F342">
        <v>0.1</v>
      </c>
      <c r="G342" t="s">
        <v>9</v>
      </c>
      <c r="H342">
        <v>280</v>
      </c>
      <c r="I342">
        <f>(Table1_1[[#This Row],[Total sales]]*Table1_1[[#This Row],[Commission]])+Table1_1[[#This Row],[Total sales]]</f>
        <v>308</v>
      </c>
    </row>
    <row r="343" spans="1:9" x14ac:dyDescent="0.3">
      <c r="A343" s="1">
        <v>43283</v>
      </c>
      <c r="B343" t="s">
        <v>10</v>
      </c>
      <c r="C343" t="s">
        <v>16</v>
      </c>
      <c r="D343">
        <v>11</v>
      </c>
      <c r="E343">
        <v>40</v>
      </c>
      <c r="F343">
        <v>0.05</v>
      </c>
      <c r="G343" t="s">
        <v>12</v>
      </c>
      <c r="H343">
        <v>440</v>
      </c>
      <c r="I343">
        <f>(Table1_1[[#This Row],[Total sales]]*Table1_1[[#This Row],[Commission]])+Table1_1[[#This Row],[Total sales]]</f>
        <v>462</v>
      </c>
    </row>
    <row r="344" spans="1:9" x14ac:dyDescent="0.3">
      <c r="A344" s="1">
        <v>43283</v>
      </c>
      <c r="B344" t="s">
        <v>7</v>
      </c>
      <c r="C344" t="s">
        <v>21</v>
      </c>
      <c r="D344">
        <v>9</v>
      </c>
      <c r="E344">
        <v>80</v>
      </c>
      <c r="F344">
        <v>0.06</v>
      </c>
      <c r="G344" t="s">
        <v>14</v>
      </c>
      <c r="H344">
        <v>720</v>
      </c>
      <c r="I344">
        <f>(Table1_1[[#This Row],[Total sales]]*Table1_1[[#This Row],[Commission]])+Table1_1[[#This Row],[Total sales]]</f>
        <v>763.2</v>
      </c>
    </row>
    <row r="345" spans="1:9" x14ac:dyDescent="0.3">
      <c r="A345" s="1">
        <v>43283</v>
      </c>
      <c r="B345" t="s">
        <v>7</v>
      </c>
      <c r="C345" t="s">
        <v>11</v>
      </c>
      <c r="D345">
        <v>21</v>
      </c>
      <c r="E345">
        <v>80</v>
      </c>
      <c r="F345">
        <v>0.04</v>
      </c>
      <c r="G345" t="s">
        <v>15</v>
      </c>
      <c r="H345">
        <v>1680</v>
      </c>
      <c r="I345">
        <f>(Table1_1[[#This Row],[Total sales]]*Table1_1[[#This Row],[Commission]])+Table1_1[[#This Row],[Total sales]]</f>
        <v>1747.2</v>
      </c>
    </row>
    <row r="346" spans="1:9" x14ac:dyDescent="0.3">
      <c r="A346" s="1">
        <v>43283</v>
      </c>
      <c r="B346" t="s">
        <v>10</v>
      </c>
      <c r="C346" t="s">
        <v>16</v>
      </c>
      <c r="D346">
        <v>2</v>
      </c>
      <c r="E346">
        <v>40</v>
      </c>
      <c r="F346">
        <v>0.03</v>
      </c>
      <c r="G346" t="s">
        <v>17</v>
      </c>
      <c r="H346">
        <v>80</v>
      </c>
      <c r="I346">
        <f>(Table1_1[[#This Row],[Total sales]]*Table1_1[[#This Row],[Commission]])+Table1_1[[#This Row],[Total sales]]</f>
        <v>82.4</v>
      </c>
    </row>
    <row r="347" spans="1:9" x14ac:dyDescent="0.3">
      <c r="A347" s="1">
        <v>43284</v>
      </c>
      <c r="B347" t="s">
        <v>20</v>
      </c>
      <c r="C347" t="s">
        <v>16</v>
      </c>
      <c r="D347">
        <v>17</v>
      </c>
      <c r="E347">
        <v>16</v>
      </c>
      <c r="F347">
        <v>0.05</v>
      </c>
      <c r="G347" t="s">
        <v>19</v>
      </c>
      <c r="H347">
        <v>272</v>
      </c>
      <c r="I347">
        <f>(Table1_1[[#This Row],[Total sales]]*Table1_1[[#This Row],[Commission]])+Table1_1[[#This Row],[Total sales]]</f>
        <v>285.60000000000002</v>
      </c>
    </row>
    <row r="348" spans="1:9" x14ac:dyDescent="0.3">
      <c r="A348" s="1">
        <v>43284</v>
      </c>
      <c r="B348" t="s">
        <v>10</v>
      </c>
      <c r="C348" t="s">
        <v>8</v>
      </c>
      <c r="D348">
        <v>18</v>
      </c>
      <c r="E348">
        <v>40</v>
      </c>
      <c r="F348">
        <v>0.06</v>
      </c>
      <c r="G348" t="s">
        <v>22</v>
      </c>
      <c r="H348">
        <v>720</v>
      </c>
      <c r="I348">
        <f>(Table1_1[[#This Row],[Total sales]]*Table1_1[[#This Row],[Commission]])+Table1_1[[#This Row],[Total sales]]</f>
        <v>763.2</v>
      </c>
    </row>
    <row r="349" spans="1:9" x14ac:dyDescent="0.3">
      <c r="A349" s="1">
        <v>43284</v>
      </c>
      <c r="B349" t="s">
        <v>10</v>
      </c>
      <c r="C349" t="s">
        <v>8</v>
      </c>
      <c r="D349">
        <v>9</v>
      </c>
      <c r="E349">
        <v>40</v>
      </c>
      <c r="F349">
        <v>0.01</v>
      </c>
      <c r="G349" t="s">
        <v>24</v>
      </c>
      <c r="H349">
        <v>360</v>
      </c>
      <c r="I349">
        <f>(Table1_1[[#This Row],[Total sales]]*Table1_1[[#This Row],[Commission]])+Table1_1[[#This Row],[Total sales]]</f>
        <v>363.6</v>
      </c>
    </row>
    <row r="350" spans="1:9" x14ac:dyDescent="0.3">
      <c r="A350" s="1">
        <v>43284</v>
      </c>
      <c r="B350" t="s">
        <v>10</v>
      </c>
      <c r="C350" t="s">
        <v>11</v>
      </c>
      <c r="D350">
        <v>7</v>
      </c>
      <c r="E350">
        <v>40</v>
      </c>
      <c r="F350">
        <v>0.01</v>
      </c>
      <c r="G350" t="s">
        <v>25</v>
      </c>
      <c r="H350">
        <v>280</v>
      </c>
      <c r="I350">
        <f>(Table1_1[[#This Row],[Total sales]]*Table1_1[[#This Row],[Commission]])+Table1_1[[#This Row],[Total sales]]</f>
        <v>282.8</v>
      </c>
    </row>
    <row r="351" spans="1:9" x14ac:dyDescent="0.3">
      <c r="A351" s="1">
        <v>43284</v>
      </c>
      <c r="B351" t="s">
        <v>13</v>
      </c>
      <c r="C351" t="s">
        <v>16</v>
      </c>
      <c r="D351">
        <v>12</v>
      </c>
      <c r="E351">
        <v>230</v>
      </c>
      <c r="F351">
        <v>0.06</v>
      </c>
      <c r="G351" t="s">
        <v>26</v>
      </c>
      <c r="H351">
        <v>2760</v>
      </c>
      <c r="I351">
        <f>(Table1_1[[#This Row],[Total sales]]*Table1_1[[#This Row],[Commission]])+Table1_1[[#This Row],[Total sales]]</f>
        <v>2925.6</v>
      </c>
    </row>
    <row r="352" spans="1:9" x14ac:dyDescent="0.3">
      <c r="A352" s="1">
        <v>43284</v>
      </c>
      <c r="B352" t="s">
        <v>20</v>
      </c>
      <c r="C352" t="s">
        <v>11</v>
      </c>
      <c r="D352">
        <v>22</v>
      </c>
      <c r="E352">
        <v>16</v>
      </c>
      <c r="F352">
        <v>0.04</v>
      </c>
      <c r="G352" t="s">
        <v>9</v>
      </c>
      <c r="H352">
        <v>352</v>
      </c>
      <c r="I352">
        <f>(Table1_1[[#This Row],[Total sales]]*Table1_1[[#This Row],[Commission]])+Table1_1[[#This Row],[Total sales]]</f>
        <v>366.08</v>
      </c>
    </row>
    <row r="353" spans="1:9" x14ac:dyDescent="0.3">
      <c r="A353" s="1">
        <v>43285</v>
      </c>
      <c r="B353" t="s">
        <v>23</v>
      </c>
      <c r="C353" t="s">
        <v>8</v>
      </c>
      <c r="D353">
        <v>5</v>
      </c>
      <c r="E353">
        <v>150</v>
      </c>
      <c r="F353">
        <v>0.11</v>
      </c>
      <c r="G353" t="s">
        <v>12</v>
      </c>
      <c r="H353">
        <v>750</v>
      </c>
      <c r="I353">
        <f>(Table1_1[[#This Row],[Total sales]]*Table1_1[[#This Row],[Commission]])+Table1_1[[#This Row],[Total sales]]</f>
        <v>832.5</v>
      </c>
    </row>
    <row r="354" spans="1:9" x14ac:dyDescent="0.3">
      <c r="A354" s="1">
        <v>43285</v>
      </c>
      <c r="B354" t="s">
        <v>7</v>
      </c>
      <c r="C354" t="s">
        <v>11</v>
      </c>
      <c r="D354">
        <v>14</v>
      </c>
      <c r="E354">
        <v>80</v>
      </c>
      <c r="F354">
        <v>0.11</v>
      </c>
      <c r="G354" t="s">
        <v>14</v>
      </c>
      <c r="H354">
        <v>1120</v>
      </c>
      <c r="I354">
        <f>(Table1_1[[#This Row],[Total sales]]*Table1_1[[#This Row],[Commission]])+Table1_1[[#This Row],[Total sales]]</f>
        <v>1243.2</v>
      </c>
    </row>
    <row r="355" spans="1:9" x14ac:dyDescent="0.3">
      <c r="A355" s="1">
        <v>43285</v>
      </c>
      <c r="B355" t="s">
        <v>20</v>
      </c>
      <c r="C355" t="s">
        <v>16</v>
      </c>
      <c r="D355">
        <v>8</v>
      </c>
      <c r="E355">
        <v>16</v>
      </c>
      <c r="F355">
        <v>0.03</v>
      </c>
      <c r="G355" t="s">
        <v>15</v>
      </c>
      <c r="H355">
        <v>128</v>
      </c>
      <c r="I355">
        <f>(Table1_1[[#This Row],[Total sales]]*Table1_1[[#This Row],[Commission]])+Table1_1[[#This Row],[Total sales]]</f>
        <v>131.84</v>
      </c>
    </row>
    <row r="356" spans="1:9" x14ac:dyDescent="0.3">
      <c r="A356" s="1">
        <v>43285</v>
      </c>
      <c r="B356" t="s">
        <v>13</v>
      </c>
      <c r="C356" t="s">
        <v>16</v>
      </c>
      <c r="D356">
        <v>6</v>
      </c>
      <c r="E356">
        <v>230</v>
      </c>
      <c r="F356">
        <v>0.05</v>
      </c>
      <c r="G356" t="s">
        <v>17</v>
      </c>
      <c r="H356">
        <v>1380</v>
      </c>
      <c r="I356">
        <f>(Table1_1[[#This Row],[Total sales]]*Table1_1[[#This Row],[Commission]])+Table1_1[[#This Row],[Total sales]]</f>
        <v>1449</v>
      </c>
    </row>
    <row r="357" spans="1:9" x14ac:dyDescent="0.3">
      <c r="A357" s="1">
        <v>43285</v>
      </c>
      <c r="B357" t="s">
        <v>20</v>
      </c>
      <c r="C357" t="s">
        <v>18</v>
      </c>
      <c r="D357">
        <v>7</v>
      </c>
      <c r="E357">
        <v>16</v>
      </c>
      <c r="F357">
        <v>0.08</v>
      </c>
      <c r="G357" t="s">
        <v>19</v>
      </c>
      <c r="H357">
        <v>112</v>
      </c>
      <c r="I357">
        <f>(Table1_1[[#This Row],[Total sales]]*Table1_1[[#This Row],[Commission]])+Table1_1[[#This Row],[Total sales]]</f>
        <v>120.96000000000001</v>
      </c>
    </row>
    <row r="358" spans="1:9" x14ac:dyDescent="0.3">
      <c r="A358" s="1">
        <v>43285</v>
      </c>
      <c r="B358" t="s">
        <v>7</v>
      </c>
      <c r="C358" t="s">
        <v>11</v>
      </c>
      <c r="D358">
        <v>16</v>
      </c>
      <c r="E358">
        <v>80</v>
      </c>
      <c r="F358">
        <v>0.04</v>
      </c>
      <c r="G358" t="s">
        <v>22</v>
      </c>
      <c r="H358">
        <v>1280</v>
      </c>
      <c r="I358">
        <f>(Table1_1[[#This Row],[Total sales]]*Table1_1[[#This Row],[Commission]])+Table1_1[[#This Row],[Total sales]]</f>
        <v>1331.2</v>
      </c>
    </row>
    <row r="359" spans="1:9" x14ac:dyDescent="0.3">
      <c r="A359" s="1">
        <v>43285</v>
      </c>
      <c r="B359" t="s">
        <v>23</v>
      </c>
      <c r="C359" t="s">
        <v>8</v>
      </c>
      <c r="D359">
        <v>17</v>
      </c>
      <c r="E359">
        <v>150</v>
      </c>
      <c r="F359">
        <v>0.12</v>
      </c>
      <c r="G359" t="s">
        <v>24</v>
      </c>
      <c r="H359">
        <v>2550</v>
      </c>
      <c r="I359">
        <f>(Table1_1[[#This Row],[Total sales]]*Table1_1[[#This Row],[Commission]])+Table1_1[[#This Row],[Total sales]]</f>
        <v>2856</v>
      </c>
    </row>
    <row r="360" spans="1:9" x14ac:dyDescent="0.3">
      <c r="A360" s="1">
        <v>43285</v>
      </c>
      <c r="B360" t="s">
        <v>20</v>
      </c>
      <c r="C360" t="s">
        <v>11</v>
      </c>
      <c r="D360">
        <v>7</v>
      </c>
      <c r="E360">
        <v>16</v>
      </c>
      <c r="F360">
        <v>0.08</v>
      </c>
      <c r="G360" t="s">
        <v>25</v>
      </c>
      <c r="H360">
        <v>112</v>
      </c>
      <c r="I360">
        <f>(Table1_1[[#This Row],[Total sales]]*Table1_1[[#This Row],[Commission]])+Table1_1[[#This Row],[Total sales]]</f>
        <v>120.96000000000001</v>
      </c>
    </row>
    <row r="361" spans="1:9" x14ac:dyDescent="0.3">
      <c r="A361" s="1">
        <v>43286</v>
      </c>
      <c r="B361" t="s">
        <v>20</v>
      </c>
      <c r="C361" t="s">
        <v>8</v>
      </c>
      <c r="D361">
        <v>21</v>
      </c>
      <c r="E361">
        <v>16</v>
      </c>
      <c r="F361">
        <v>0.09</v>
      </c>
      <c r="G361" t="s">
        <v>26</v>
      </c>
      <c r="H361">
        <v>336</v>
      </c>
      <c r="I361">
        <f>(Table1_1[[#This Row],[Total sales]]*Table1_1[[#This Row],[Commission]])+Table1_1[[#This Row],[Total sales]]</f>
        <v>366.24</v>
      </c>
    </row>
    <row r="362" spans="1:9" x14ac:dyDescent="0.3">
      <c r="A362" s="1">
        <v>43286</v>
      </c>
      <c r="B362" t="s">
        <v>20</v>
      </c>
      <c r="C362" t="s">
        <v>16</v>
      </c>
      <c r="D362">
        <v>23</v>
      </c>
      <c r="E362">
        <v>16</v>
      </c>
      <c r="F362">
        <v>0.11</v>
      </c>
      <c r="G362" t="s">
        <v>27</v>
      </c>
      <c r="H362">
        <v>368</v>
      </c>
      <c r="I362">
        <f>(Table1_1[[#This Row],[Total sales]]*Table1_1[[#This Row],[Commission]])+Table1_1[[#This Row],[Total sales]]</f>
        <v>408.48</v>
      </c>
    </row>
    <row r="363" spans="1:9" x14ac:dyDescent="0.3">
      <c r="A363" s="1">
        <v>43286</v>
      </c>
      <c r="B363" t="s">
        <v>23</v>
      </c>
      <c r="C363" t="s">
        <v>16</v>
      </c>
      <c r="D363">
        <v>2</v>
      </c>
      <c r="E363">
        <v>150</v>
      </c>
      <c r="F363">
        <v>0.02</v>
      </c>
      <c r="G363" t="s">
        <v>28</v>
      </c>
      <c r="H363">
        <v>300</v>
      </c>
      <c r="I363">
        <f>(Table1_1[[#This Row],[Total sales]]*Table1_1[[#This Row],[Commission]])+Table1_1[[#This Row],[Total sales]]</f>
        <v>306</v>
      </c>
    </row>
    <row r="364" spans="1:9" x14ac:dyDescent="0.3">
      <c r="A364" s="1">
        <v>43286</v>
      </c>
      <c r="B364" t="s">
        <v>23</v>
      </c>
      <c r="C364" t="s">
        <v>8</v>
      </c>
      <c r="D364">
        <v>22</v>
      </c>
      <c r="E364">
        <v>150</v>
      </c>
      <c r="F364">
        <v>7.0000000000000007E-2</v>
      </c>
      <c r="G364" t="s">
        <v>9</v>
      </c>
      <c r="H364">
        <v>3300</v>
      </c>
      <c r="I364">
        <f>(Table1_1[[#This Row],[Total sales]]*Table1_1[[#This Row],[Commission]])+Table1_1[[#This Row],[Total sales]]</f>
        <v>3531</v>
      </c>
    </row>
    <row r="365" spans="1:9" x14ac:dyDescent="0.3">
      <c r="A365" s="1">
        <v>43286</v>
      </c>
      <c r="B365" t="s">
        <v>10</v>
      </c>
      <c r="C365" t="s">
        <v>18</v>
      </c>
      <c r="D365">
        <v>22</v>
      </c>
      <c r="E365">
        <v>40</v>
      </c>
      <c r="F365">
        <v>0.01</v>
      </c>
      <c r="G365" t="s">
        <v>12</v>
      </c>
      <c r="H365">
        <v>880</v>
      </c>
      <c r="I365">
        <f>(Table1_1[[#This Row],[Total sales]]*Table1_1[[#This Row],[Commission]])+Table1_1[[#This Row],[Total sales]]</f>
        <v>888.8</v>
      </c>
    </row>
    <row r="366" spans="1:9" x14ac:dyDescent="0.3">
      <c r="A366" s="1">
        <v>43286</v>
      </c>
      <c r="B366" t="s">
        <v>7</v>
      </c>
      <c r="C366" t="s">
        <v>11</v>
      </c>
      <c r="D366">
        <v>10</v>
      </c>
      <c r="E366">
        <v>80</v>
      </c>
      <c r="F366">
        <v>0.11</v>
      </c>
      <c r="G366" t="s">
        <v>14</v>
      </c>
      <c r="H366">
        <v>800</v>
      </c>
      <c r="I366">
        <f>(Table1_1[[#This Row],[Total sales]]*Table1_1[[#This Row],[Commission]])+Table1_1[[#This Row],[Total sales]]</f>
        <v>888</v>
      </c>
    </row>
    <row r="367" spans="1:9" x14ac:dyDescent="0.3">
      <c r="A367" s="1">
        <v>43286</v>
      </c>
      <c r="B367" t="s">
        <v>7</v>
      </c>
      <c r="C367" t="s">
        <v>21</v>
      </c>
      <c r="D367">
        <v>13</v>
      </c>
      <c r="E367">
        <v>80</v>
      </c>
      <c r="F367">
        <v>0.05</v>
      </c>
      <c r="G367" t="s">
        <v>15</v>
      </c>
      <c r="H367">
        <v>1040</v>
      </c>
      <c r="I367">
        <f>(Table1_1[[#This Row],[Total sales]]*Table1_1[[#This Row],[Commission]])+Table1_1[[#This Row],[Total sales]]</f>
        <v>1092</v>
      </c>
    </row>
    <row r="368" spans="1:9" x14ac:dyDescent="0.3">
      <c r="A368" s="1">
        <v>43286</v>
      </c>
      <c r="B368" t="s">
        <v>13</v>
      </c>
      <c r="C368" t="s">
        <v>18</v>
      </c>
      <c r="D368">
        <v>11</v>
      </c>
      <c r="E368">
        <v>230</v>
      </c>
      <c r="F368">
        <v>0.12</v>
      </c>
      <c r="G368" t="s">
        <v>17</v>
      </c>
      <c r="H368">
        <v>2530</v>
      </c>
      <c r="I368">
        <f>(Table1_1[[#This Row],[Total sales]]*Table1_1[[#This Row],[Commission]])+Table1_1[[#This Row],[Total sales]]</f>
        <v>2833.6</v>
      </c>
    </row>
    <row r="369" spans="1:9" x14ac:dyDescent="0.3">
      <c r="A369" s="1">
        <v>43286</v>
      </c>
      <c r="B369" t="s">
        <v>13</v>
      </c>
      <c r="C369" t="s">
        <v>8</v>
      </c>
      <c r="D369">
        <v>9</v>
      </c>
      <c r="E369">
        <v>230</v>
      </c>
      <c r="F369">
        <v>7.0000000000000007E-2</v>
      </c>
      <c r="G369" t="s">
        <v>19</v>
      </c>
      <c r="H369">
        <v>2070</v>
      </c>
      <c r="I369">
        <f>(Table1_1[[#This Row],[Total sales]]*Table1_1[[#This Row],[Commission]])+Table1_1[[#This Row],[Total sales]]</f>
        <v>2214.9</v>
      </c>
    </row>
    <row r="370" spans="1:9" x14ac:dyDescent="0.3">
      <c r="A370" s="1">
        <v>43286</v>
      </c>
      <c r="B370" t="s">
        <v>13</v>
      </c>
      <c r="C370" t="s">
        <v>18</v>
      </c>
      <c r="D370">
        <v>16</v>
      </c>
      <c r="E370">
        <v>230</v>
      </c>
      <c r="F370">
        <v>0.11</v>
      </c>
      <c r="G370" t="s">
        <v>22</v>
      </c>
      <c r="H370">
        <v>3680</v>
      </c>
      <c r="I370">
        <f>(Table1_1[[#This Row],[Total sales]]*Table1_1[[#This Row],[Commission]])+Table1_1[[#This Row],[Total sales]]</f>
        <v>4084.8</v>
      </c>
    </row>
    <row r="371" spans="1:9" x14ac:dyDescent="0.3">
      <c r="A371" s="1">
        <v>43286</v>
      </c>
      <c r="B371" t="s">
        <v>13</v>
      </c>
      <c r="C371" t="s">
        <v>18</v>
      </c>
      <c r="D371">
        <v>18</v>
      </c>
      <c r="E371">
        <v>230</v>
      </c>
      <c r="F371">
        <v>0.01</v>
      </c>
      <c r="G371" t="s">
        <v>24</v>
      </c>
      <c r="H371">
        <v>4140</v>
      </c>
      <c r="I371">
        <f>(Table1_1[[#This Row],[Total sales]]*Table1_1[[#This Row],[Commission]])+Table1_1[[#This Row],[Total sales]]</f>
        <v>4181.3999999999996</v>
      </c>
    </row>
    <row r="372" spans="1:9" x14ac:dyDescent="0.3">
      <c r="A372" s="1">
        <v>43286</v>
      </c>
      <c r="B372" t="s">
        <v>20</v>
      </c>
      <c r="C372" t="s">
        <v>11</v>
      </c>
      <c r="D372">
        <v>15</v>
      </c>
      <c r="E372">
        <v>16</v>
      </c>
      <c r="F372">
        <v>0.02</v>
      </c>
      <c r="G372" t="s">
        <v>25</v>
      </c>
      <c r="H372">
        <v>240</v>
      </c>
      <c r="I372">
        <f>(Table1_1[[#This Row],[Total sales]]*Table1_1[[#This Row],[Commission]])+Table1_1[[#This Row],[Total sales]]</f>
        <v>244.8</v>
      </c>
    </row>
    <row r="373" spans="1:9" x14ac:dyDescent="0.3">
      <c r="A373" s="1">
        <v>43286</v>
      </c>
      <c r="B373" t="s">
        <v>10</v>
      </c>
      <c r="C373" t="s">
        <v>21</v>
      </c>
      <c r="D373">
        <v>18</v>
      </c>
      <c r="E373">
        <v>40</v>
      </c>
      <c r="F373">
        <v>0.06</v>
      </c>
      <c r="G373" t="s">
        <v>26</v>
      </c>
      <c r="H373">
        <v>720</v>
      </c>
      <c r="I373">
        <f>(Table1_1[[#This Row],[Total sales]]*Table1_1[[#This Row],[Commission]])+Table1_1[[#This Row],[Total sales]]</f>
        <v>763.2</v>
      </c>
    </row>
    <row r="374" spans="1:9" x14ac:dyDescent="0.3">
      <c r="A374" s="1">
        <v>43286</v>
      </c>
      <c r="B374" t="s">
        <v>10</v>
      </c>
      <c r="C374" t="s">
        <v>18</v>
      </c>
      <c r="D374">
        <v>18</v>
      </c>
      <c r="E374">
        <v>40</v>
      </c>
      <c r="F374">
        <v>0.04</v>
      </c>
      <c r="G374" t="s">
        <v>27</v>
      </c>
      <c r="H374">
        <v>720</v>
      </c>
      <c r="I374">
        <f>(Table1_1[[#This Row],[Total sales]]*Table1_1[[#This Row],[Commission]])+Table1_1[[#This Row],[Total sales]]</f>
        <v>748.8</v>
      </c>
    </row>
    <row r="375" spans="1:9" x14ac:dyDescent="0.3">
      <c r="A375" s="1">
        <v>43286</v>
      </c>
      <c r="B375" t="s">
        <v>20</v>
      </c>
      <c r="C375" t="s">
        <v>18</v>
      </c>
      <c r="D375">
        <v>22</v>
      </c>
      <c r="E375">
        <v>16</v>
      </c>
      <c r="F375">
        <v>0.03</v>
      </c>
      <c r="G375" t="s">
        <v>28</v>
      </c>
      <c r="H375">
        <v>352</v>
      </c>
      <c r="I375">
        <f>(Table1_1[[#This Row],[Total sales]]*Table1_1[[#This Row],[Commission]])+Table1_1[[#This Row],[Total sales]]</f>
        <v>362.56</v>
      </c>
    </row>
    <row r="376" spans="1:9" x14ac:dyDescent="0.3">
      <c r="A376" s="1">
        <v>43286</v>
      </c>
      <c r="B376" t="s">
        <v>20</v>
      </c>
      <c r="C376" t="s">
        <v>16</v>
      </c>
      <c r="D376">
        <v>12</v>
      </c>
      <c r="E376">
        <v>16</v>
      </c>
      <c r="F376">
        <v>0.11</v>
      </c>
      <c r="G376" t="s">
        <v>9</v>
      </c>
      <c r="H376">
        <v>192</v>
      </c>
      <c r="I376">
        <f>(Table1_1[[#This Row],[Total sales]]*Table1_1[[#This Row],[Commission]])+Table1_1[[#This Row],[Total sales]]</f>
        <v>213.12</v>
      </c>
    </row>
    <row r="377" spans="1:9" x14ac:dyDescent="0.3">
      <c r="A377" s="1">
        <v>43287</v>
      </c>
      <c r="B377" t="s">
        <v>7</v>
      </c>
      <c r="C377" t="s">
        <v>8</v>
      </c>
      <c r="D377">
        <v>20</v>
      </c>
      <c r="E377">
        <v>80</v>
      </c>
      <c r="F377">
        <v>0.01</v>
      </c>
      <c r="G377" t="s">
        <v>12</v>
      </c>
      <c r="H377">
        <v>1600</v>
      </c>
      <c r="I377">
        <f>(Table1_1[[#This Row],[Total sales]]*Table1_1[[#This Row],[Commission]])+Table1_1[[#This Row],[Total sales]]</f>
        <v>1616</v>
      </c>
    </row>
    <row r="378" spans="1:9" x14ac:dyDescent="0.3">
      <c r="A378" s="1">
        <v>43287</v>
      </c>
      <c r="B378" t="s">
        <v>13</v>
      </c>
      <c r="C378" t="s">
        <v>16</v>
      </c>
      <c r="D378">
        <v>10</v>
      </c>
      <c r="E378">
        <v>230</v>
      </c>
      <c r="F378">
        <v>0.02</v>
      </c>
      <c r="G378" t="s">
        <v>14</v>
      </c>
      <c r="H378">
        <v>2300</v>
      </c>
      <c r="I378">
        <f>(Table1_1[[#This Row],[Total sales]]*Table1_1[[#This Row],[Commission]])+Table1_1[[#This Row],[Total sales]]</f>
        <v>2346</v>
      </c>
    </row>
    <row r="379" spans="1:9" x14ac:dyDescent="0.3">
      <c r="A379" s="1">
        <v>43287</v>
      </c>
      <c r="B379" t="s">
        <v>13</v>
      </c>
      <c r="C379" t="s">
        <v>11</v>
      </c>
      <c r="D379">
        <v>9</v>
      </c>
      <c r="E379">
        <v>230</v>
      </c>
      <c r="F379">
        <v>0.03</v>
      </c>
      <c r="G379" t="s">
        <v>15</v>
      </c>
      <c r="H379">
        <v>2070</v>
      </c>
      <c r="I379">
        <f>(Table1_1[[#This Row],[Total sales]]*Table1_1[[#This Row],[Commission]])+Table1_1[[#This Row],[Total sales]]</f>
        <v>2132.1</v>
      </c>
    </row>
    <row r="380" spans="1:9" x14ac:dyDescent="0.3">
      <c r="A380" s="1">
        <v>43287</v>
      </c>
      <c r="B380" t="s">
        <v>7</v>
      </c>
      <c r="C380" t="s">
        <v>11</v>
      </c>
      <c r="D380">
        <v>17</v>
      </c>
      <c r="E380">
        <v>80</v>
      </c>
      <c r="F380">
        <v>0.03</v>
      </c>
      <c r="G380" t="s">
        <v>17</v>
      </c>
      <c r="H380">
        <v>1360</v>
      </c>
      <c r="I380">
        <f>(Table1_1[[#This Row],[Total sales]]*Table1_1[[#This Row],[Commission]])+Table1_1[[#This Row],[Total sales]]</f>
        <v>1400.8</v>
      </c>
    </row>
    <row r="381" spans="1:9" x14ac:dyDescent="0.3">
      <c r="A381" s="1">
        <v>43287</v>
      </c>
      <c r="B381" t="s">
        <v>10</v>
      </c>
      <c r="C381" t="s">
        <v>21</v>
      </c>
      <c r="D381">
        <v>4</v>
      </c>
      <c r="E381">
        <v>40</v>
      </c>
      <c r="F381">
        <v>0.09</v>
      </c>
      <c r="G381" t="s">
        <v>19</v>
      </c>
      <c r="H381">
        <v>160</v>
      </c>
      <c r="I381">
        <f>(Table1_1[[#This Row],[Total sales]]*Table1_1[[#This Row],[Commission]])+Table1_1[[#This Row],[Total sales]]</f>
        <v>174.4</v>
      </c>
    </row>
    <row r="382" spans="1:9" x14ac:dyDescent="0.3">
      <c r="A382" s="1">
        <v>43287</v>
      </c>
      <c r="B382" t="s">
        <v>23</v>
      </c>
      <c r="C382" t="s">
        <v>11</v>
      </c>
      <c r="D382">
        <v>16</v>
      </c>
      <c r="E382">
        <v>150</v>
      </c>
      <c r="F382">
        <v>0.03</v>
      </c>
      <c r="G382" t="s">
        <v>22</v>
      </c>
      <c r="H382">
        <v>2400</v>
      </c>
      <c r="I382">
        <f>(Table1_1[[#This Row],[Total sales]]*Table1_1[[#This Row],[Commission]])+Table1_1[[#This Row],[Total sales]]</f>
        <v>2472</v>
      </c>
    </row>
    <row r="383" spans="1:9" x14ac:dyDescent="0.3">
      <c r="A383" s="1">
        <v>43287</v>
      </c>
      <c r="B383" t="s">
        <v>7</v>
      </c>
      <c r="C383" t="s">
        <v>16</v>
      </c>
      <c r="D383">
        <v>8</v>
      </c>
      <c r="E383">
        <v>80</v>
      </c>
      <c r="F383">
        <v>0.02</v>
      </c>
      <c r="G383" t="s">
        <v>24</v>
      </c>
      <c r="H383">
        <v>640</v>
      </c>
      <c r="I383">
        <f>(Table1_1[[#This Row],[Total sales]]*Table1_1[[#This Row],[Commission]])+Table1_1[[#This Row],[Total sales]]</f>
        <v>652.79999999999995</v>
      </c>
    </row>
    <row r="384" spans="1:9" x14ac:dyDescent="0.3">
      <c r="A384" s="1">
        <v>43287</v>
      </c>
      <c r="B384" t="s">
        <v>10</v>
      </c>
      <c r="C384" t="s">
        <v>18</v>
      </c>
      <c r="D384">
        <v>23</v>
      </c>
      <c r="E384">
        <v>40</v>
      </c>
      <c r="F384">
        <v>0.06</v>
      </c>
      <c r="G384" t="s">
        <v>25</v>
      </c>
      <c r="H384">
        <v>920</v>
      </c>
      <c r="I384">
        <f>(Table1_1[[#This Row],[Total sales]]*Table1_1[[#This Row],[Commission]])+Table1_1[[#This Row],[Total sales]]</f>
        <v>975.2</v>
      </c>
    </row>
    <row r="385" spans="1:9" x14ac:dyDescent="0.3">
      <c r="A385" s="1">
        <v>43288</v>
      </c>
      <c r="B385" t="s">
        <v>23</v>
      </c>
      <c r="C385" t="s">
        <v>18</v>
      </c>
      <c r="D385">
        <v>20</v>
      </c>
      <c r="E385">
        <v>150</v>
      </c>
      <c r="F385">
        <v>0.1</v>
      </c>
      <c r="G385" t="s">
        <v>26</v>
      </c>
      <c r="H385">
        <v>3000</v>
      </c>
      <c r="I385">
        <f>(Table1_1[[#This Row],[Total sales]]*Table1_1[[#This Row],[Commission]])+Table1_1[[#This Row],[Total sales]]</f>
        <v>3300</v>
      </c>
    </row>
    <row r="386" spans="1:9" x14ac:dyDescent="0.3">
      <c r="A386" s="1">
        <v>43288</v>
      </c>
      <c r="B386" t="s">
        <v>13</v>
      </c>
      <c r="C386" t="s">
        <v>21</v>
      </c>
      <c r="D386">
        <v>22</v>
      </c>
      <c r="E386">
        <v>230</v>
      </c>
      <c r="F386">
        <v>0.1</v>
      </c>
      <c r="G386" t="s">
        <v>27</v>
      </c>
      <c r="H386">
        <v>5060</v>
      </c>
      <c r="I386">
        <f>(Table1_1[[#This Row],[Total sales]]*Table1_1[[#This Row],[Commission]])+Table1_1[[#This Row],[Total sales]]</f>
        <v>5566</v>
      </c>
    </row>
    <row r="387" spans="1:9" x14ac:dyDescent="0.3">
      <c r="A387" s="1">
        <v>43288</v>
      </c>
      <c r="B387" t="s">
        <v>13</v>
      </c>
      <c r="C387" t="s">
        <v>11</v>
      </c>
      <c r="D387">
        <v>6</v>
      </c>
      <c r="E387">
        <v>230</v>
      </c>
      <c r="F387">
        <v>0.1</v>
      </c>
      <c r="G387" t="s">
        <v>28</v>
      </c>
      <c r="H387">
        <v>1380</v>
      </c>
      <c r="I387">
        <f>(Table1_1[[#This Row],[Total sales]]*Table1_1[[#This Row],[Commission]])+Table1_1[[#This Row],[Total sales]]</f>
        <v>1518</v>
      </c>
    </row>
    <row r="388" spans="1:9" x14ac:dyDescent="0.3">
      <c r="A388" s="1">
        <v>43288</v>
      </c>
      <c r="B388" t="s">
        <v>7</v>
      </c>
      <c r="C388" t="s">
        <v>18</v>
      </c>
      <c r="D388">
        <v>10</v>
      </c>
      <c r="E388">
        <v>80</v>
      </c>
      <c r="F388">
        <v>0.1</v>
      </c>
      <c r="G388" t="s">
        <v>9</v>
      </c>
      <c r="H388">
        <v>800</v>
      </c>
      <c r="I388">
        <f>(Table1_1[[#This Row],[Total sales]]*Table1_1[[#This Row],[Commission]])+Table1_1[[#This Row],[Total sales]]</f>
        <v>880</v>
      </c>
    </row>
    <row r="389" spans="1:9" x14ac:dyDescent="0.3">
      <c r="A389" s="1">
        <v>43288</v>
      </c>
      <c r="B389" t="s">
        <v>13</v>
      </c>
      <c r="C389" t="s">
        <v>21</v>
      </c>
      <c r="D389">
        <v>21</v>
      </c>
      <c r="E389">
        <v>230</v>
      </c>
      <c r="F389">
        <v>0.05</v>
      </c>
      <c r="G389" t="s">
        <v>12</v>
      </c>
      <c r="H389">
        <v>4830</v>
      </c>
      <c r="I389">
        <f>(Table1_1[[#This Row],[Total sales]]*Table1_1[[#This Row],[Commission]])+Table1_1[[#This Row],[Total sales]]</f>
        <v>5071.5</v>
      </c>
    </row>
    <row r="390" spans="1:9" x14ac:dyDescent="0.3">
      <c r="A390" s="1">
        <v>43288</v>
      </c>
      <c r="B390" t="s">
        <v>13</v>
      </c>
      <c r="C390" t="s">
        <v>8</v>
      </c>
      <c r="D390">
        <v>20</v>
      </c>
      <c r="E390">
        <v>230</v>
      </c>
      <c r="F390">
        <v>0.04</v>
      </c>
      <c r="G390" t="s">
        <v>14</v>
      </c>
      <c r="H390">
        <v>4600</v>
      </c>
      <c r="I390">
        <f>(Table1_1[[#This Row],[Total sales]]*Table1_1[[#This Row],[Commission]])+Table1_1[[#This Row],[Total sales]]</f>
        <v>4784</v>
      </c>
    </row>
    <row r="391" spans="1:9" x14ac:dyDescent="0.3">
      <c r="A391" s="1">
        <v>43288</v>
      </c>
      <c r="B391" t="s">
        <v>7</v>
      </c>
      <c r="C391" t="s">
        <v>16</v>
      </c>
      <c r="D391">
        <v>20</v>
      </c>
      <c r="E391">
        <v>80</v>
      </c>
      <c r="F391">
        <v>7.0000000000000007E-2</v>
      </c>
      <c r="G391" t="s">
        <v>15</v>
      </c>
      <c r="H391">
        <v>1600</v>
      </c>
      <c r="I391">
        <f>(Table1_1[[#This Row],[Total sales]]*Table1_1[[#This Row],[Commission]])+Table1_1[[#This Row],[Total sales]]</f>
        <v>1712</v>
      </c>
    </row>
    <row r="392" spans="1:9" x14ac:dyDescent="0.3">
      <c r="A392" s="1">
        <v>43288</v>
      </c>
      <c r="B392" t="s">
        <v>7</v>
      </c>
      <c r="C392" t="s">
        <v>16</v>
      </c>
      <c r="D392">
        <v>7</v>
      </c>
      <c r="E392">
        <v>80</v>
      </c>
      <c r="F392">
        <v>0.05</v>
      </c>
      <c r="G392" t="s">
        <v>17</v>
      </c>
      <c r="H392">
        <v>560</v>
      </c>
      <c r="I392">
        <f>(Table1_1[[#This Row],[Total sales]]*Table1_1[[#This Row],[Commission]])+Table1_1[[#This Row],[Total sales]]</f>
        <v>588</v>
      </c>
    </row>
    <row r="393" spans="1:9" x14ac:dyDescent="0.3">
      <c r="A393" s="1">
        <v>43288</v>
      </c>
      <c r="B393" t="s">
        <v>7</v>
      </c>
      <c r="C393" t="s">
        <v>8</v>
      </c>
      <c r="D393">
        <v>8</v>
      </c>
      <c r="E393">
        <v>80</v>
      </c>
      <c r="F393">
        <v>0.09</v>
      </c>
      <c r="G393" t="s">
        <v>19</v>
      </c>
      <c r="H393">
        <v>640</v>
      </c>
      <c r="I393">
        <f>(Table1_1[[#This Row],[Total sales]]*Table1_1[[#This Row],[Commission]])+Table1_1[[#This Row],[Total sales]]</f>
        <v>697.6</v>
      </c>
    </row>
    <row r="394" spans="1:9" x14ac:dyDescent="0.3">
      <c r="A394" s="1">
        <v>43288</v>
      </c>
      <c r="B394" t="s">
        <v>7</v>
      </c>
      <c r="C394" t="s">
        <v>11</v>
      </c>
      <c r="D394">
        <v>3</v>
      </c>
      <c r="E394">
        <v>80</v>
      </c>
      <c r="F394">
        <v>0.02</v>
      </c>
      <c r="G394" t="s">
        <v>22</v>
      </c>
      <c r="H394">
        <v>240</v>
      </c>
      <c r="I394">
        <f>(Table1_1[[#This Row],[Total sales]]*Table1_1[[#This Row],[Commission]])+Table1_1[[#This Row],[Total sales]]</f>
        <v>244.8</v>
      </c>
    </row>
    <row r="395" spans="1:9" x14ac:dyDescent="0.3">
      <c r="A395" s="1">
        <v>43288</v>
      </c>
      <c r="B395" t="s">
        <v>7</v>
      </c>
      <c r="C395" t="s">
        <v>18</v>
      </c>
      <c r="D395">
        <v>8</v>
      </c>
      <c r="E395">
        <v>80</v>
      </c>
      <c r="F395">
        <v>0.06</v>
      </c>
      <c r="G395" t="s">
        <v>24</v>
      </c>
      <c r="H395">
        <v>640</v>
      </c>
      <c r="I395">
        <f>(Table1_1[[#This Row],[Total sales]]*Table1_1[[#This Row],[Commission]])+Table1_1[[#This Row],[Total sales]]</f>
        <v>678.4</v>
      </c>
    </row>
    <row r="396" spans="1:9" x14ac:dyDescent="0.3">
      <c r="A396" s="1">
        <v>43288</v>
      </c>
      <c r="B396" t="s">
        <v>23</v>
      </c>
      <c r="C396" t="s">
        <v>21</v>
      </c>
      <c r="D396">
        <v>13</v>
      </c>
      <c r="E396">
        <v>150</v>
      </c>
      <c r="F396">
        <v>0.11</v>
      </c>
      <c r="G396" t="s">
        <v>25</v>
      </c>
      <c r="H396">
        <v>1950</v>
      </c>
      <c r="I396">
        <f>(Table1_1[[#This Row],[Total sales]]*Table1_1[[#This Row],[Commission]])+Table1_1[[#This Row],[Total sales]]</f>
        <v>2164.5</v>
      </c>
    </row>
    <row r="397" spans="1:9" x14ac:dyDescent="0.3">
      <c r="A397" s="1">
        <v>43288</v>
      </c>
      <c r="B397" t="s">
        <v>7</v>
      </c>
      <c r="C397" t="s">
        <v>18</v>
      </c>
      <c r="D397">
        <v>15</v>
      </c>
      <c r="E397">
        <v>80</v>
      </c>
      <c r="F397">
        <v>0.08</v>
      </c>
      <c r="G397" t="s">
        <v>26</v>
      </c>
      <c r="H397">
        <v>1200</v>
      </c>
      <c r="I397">
        <f>(Table1_1[[#This Row],[Total sales]]*Table1_1[[#This Row],[Commission]])+Table1_1[[#This Row],[Total sales]]</f>
        <v>1296</v>
      </c>
    </row>
    <row r="398" spans="1:9" x14ac:dyDescent="0.3">
      <c r="A398" s="1">
        <v>43288</v>
      </c>
      <c r="B398" t="s">
        <v>23</v>
      </c>
      <c r="C398" t="s">
        <v>21</v>
      </c>
      <c r="D398">
        <v>7</v>
      </c>
      <c r="E398">
        <v>150</v>
      </c>
      <c r="F398">
        <v>0.02</v>
      </c>
      <c r="G398" t="s">
        <v>27</v>
      </c>
      <c r="H398">
        <v>1050</v>
      </c>
      <c r="I398">
        <f>(Table1_1[[#This Row],[Total sales]]*Table1_1[[#This Row],[Commission]])+Table1_1[[#This Row],[Total sales]]</f>
        <v>1071</v>
      </c>
    </row>
    <row r="399" spans="1:9" x14ac:dyDescent="0.3">
      <c r="A399" s="1">
        <v>43288</v>
      </c>
      <c r="B399" t="s">
        <v>10</v>
      </c>
      <c r="C399" t="s">
        <v>16</v>
      </c>
      <c r="D399">
        <v>6</v>
      </c>
      <c r="E399">
        <v>40</v>
      </c>
      <c r="F399">
        <v>0.06</v>
      </c>
      <c r="G399" t="s">
        <v>28</v>
      </c>
      <c r="H399">
        <v>240</v>
      </c>
      <c r="I399">
        <f>(Table1_1[[#This Row],[Total sales]]*Table1_1[[#This Row],[Commission]])+Table1_1[[#This Row],[Total sales]]</f>
        <v>254.4</v>
      </c>
    </row>
    <row r="400" spans="1:9" x14ac:dyDescent="0.3">
      <c r="A400" s="1">
        <v>43288</v>
      </c>
      <c r="B400" t="s">
        <v>7</v>
      </c>
      <c r="C400" t="s">
        <v>18</v>
      </c>
      <c r="D400">
        <v>23</v>
      </c>
      <c r="E400">
        <v>80</v>
      </c>
      <c r="F400">
        <v>0.11</v>
      </c>
      <c r="G400" t="s">
        <v>9</v>
      </c>
      <c r="H400">
        <v>1840</v>
      </c>
      <c r="I400">
        <f>(Table1_1[[#This Row],[Total sales]]*Table1_1[[#This Row],[Commission]])+Table1_1[[#This Row],[Total sales]]</f>
        <v>2042.4</v>
      </c>
    </row>
    <row r="401" spans="1:9" x14ac:dyDescent="0.3">
      <c r="A401" s="1">
        <v>43288</v>
      </c>
      <c r="B401" t="s">
        <v>13</v>
      </c>
      <c r="C401" t="s">
        <v>16</v>
      </c>
      <c r="D401">
        <v>18</v>
      </c>
      <c r="E401">
        <v>230</v>
      </c>
      <c r="F401">
        <v>0.01</v>
      </c>
      <c r="G401" t="s">
        <v>12</v>
      </c>
      <c r="H401">
        <v>4140</v>
      </c>
      <c r="I401">
        <f>(Table1_1[[#This Row],[Total sales]]*Table1_1[[#This Row],[Commission]])+Table1_1[[#This Row],[Total sales]]</f>
        <v>4181.3999999999996</v>
      </c>
    </row>
    <row r="402" spans="1:9" x14ac:dyDescent="0.3">
      <c r="A402" s="1">
        <v>43289</v>
      </c>
      <c r="B402" t="s">
        <v>7</v>
      </c>
      <c r="C402" t="s">
        <v>21</v>
      </c>
      <c r="D402">
        <v>21</v>
      </c>
      <c r="E402">
        <v>80</v>
      </c>
      <c r="F402">
        <v>0.09</v>
      </c>
      <c r="G402" t="s">
        <v>14</v>
      </c>
      <c r="H402">
        <v>1680</v>
      </c>
      <c r="I402">
        <f>(Table1_1[[#This Row],[Total sales]]*Table1_1[[#This Row],[Commission]])+Table1_1[[#This Row],[Total sales]]</f>
        <v>1831.2</v>
      </c>
    </row>
    <row r="403" spans="1:9" x14ac:dyDescent="0.3">
      <c r="A403" s="1">
        <v>43289</v>
      </c>
      <c r="B403" t="s">
        <v>10</v>
      </c>
      <c r="C403" t="s">
        <v>16</v>
      </c>
      <c r="D403">
        <v>13</v>
      </c>
      <c r="E403">
        <v>40</v>
      </c>
      <c r="F403">
        <v>0.02</v>
      </c>
      <c r="G403" t="s">
        <v>15</v>
      </c>
      <c r="H403">
        <v>520</v>
      </c>
      <c r="I403">
        <f>(Table1_1[[#This Row],[Total sales]]*Table1_1[[#This Row],[Commission]])+Table1_1[[#This Row],[Total sales]]</f>
        <v>530.4</v>
      </c>
    </row>
    <row r="404" spans="1:9" x14ac:dyDescent="0.3">
      <c r="A404" s="1">
        <v>43289</v>
      </c>
      <c r="B404" t="s">
        <v>7</v>
      </c>
      <c r="C404" t="s">
        <v>16</v>
      </c>
      <c r="D404">
        <v>23</v>
      </c>
      <c r="E404">
        <v>80</v>
      </c>
      <c r="F404">
        <v>0.05</v>
      </c>
      <c r="G404" t="s">
        <v>17</v>
      </c>
      <c r="H404">
        <v>1840</v>
      </c>
      <c r="I404">
        <f>(Table1_1[[#This Row],[Total sales]]*Table1_1[[#This Row],[Commission]])+Table1_1[[#This Row],[Total sales]]</f>
        <v>1932</v>
      </c>
    </row>
    <row r="405" spans="1:9" x14ac:dyDescent="0.3">
      <c r="A405" s="1">
        <v>43289</v>
      </c>
      <c r="B405" t="s">
        <v>23</v>
      </c>
      <c r="C405" t="s">
        <v>18</v>
      </c>
      <c r="D405">
        <v>15</v>
      </c>
      <c r="E405">
        <v>150</v>
      </c>
      <c r="F405">
        <v>0.05</v>
      </c>
      <c r="G405" t="s">
        <v>19</v>
      </c>
      <c r="H405">
        <v>2250</v>
      </c>
      <c r="I405">
        <f>(Table1_1[[#This Row],[Total sales]]*Table1_1[[#This Row],[Commission]])+Table1_1[[#This Row],[Total sales]]</f>
        <v>2362.5</v>
      </c>
    </row>
    <row r="406" spans="1:9" x14ac:dyDescent="0.3">
      <c r="A406" s="1">
        <v>43289</v>
      </c>
      <c r="B406" t="s">
        <v>10</v>
      </c>
      <c r="C406" t="s">
        <v>8</v>
      </c>
      <c r="D406">
        <v>5</v>
      </c>
      <c r="E406">
        <v>40</v>
      </c>
      <c r="F406">
        <v>0.09</v>
      </c>
      <c r="G406" t="s">
        <v>22</v>
      </c>
      <c r="H406">
        <v>200</v>
      </c>
      <c r="I406">
        <f>(Table1_1[[#This Row],[Total sales]]*Table1_1[[#This Row],[Commission]])+Table1_1[[#This Row],[Total sales]]</f>
        <v>218</v>
      </c>
    </row>
    <row r="407" spans="1:9" x14ac:dyDescent="0.3">
      <c r="A407" s="1">
        <v>43289</v>
      </c>
      <c r="B407" t="s">
        <v>20</v>
      </c>
      <c r="C407" t="s">
        <v>18</v>
      </c>
      <c r="D407">
        <v>10</v>
      </c>
      <c r="E407">
        <v>16</v>
      </c>
      <c r="F407">
        <v>0.01</v>
      </c>
      <c r="G407" t="s">
        <v>24</v>
      </c>
      <c r="H407">
        <v>160</v>
      </c>
      <c r="I407">
        <f>(Table1_1[[#This Row],[Total sales]]*Table1_1[[#This Row],[Commission]])+Table1_1[[#This Row],[Total sales]]</f>
        <v>161.6</v>
      </c>
    </row>
    <row r="408" spans="1:9" x14ac:dyDescent="0.3">
      <c r="A408" s="1">
        <v>43289</v>
      </c>
      <c r="B408" t="s">
        <v>13</v>
      </c>
      <c r="C408" t="s">
        <v>16</v>
      </c>
      <c r="D408">
        <v>2</v>
      </c>
      <c r="E408">
        <v>230</v>
      </c>
      <c r="F408">
        <v>0.09</v>
      </c>
      <c r="G408" t="s">
        <v>25</v>
      </c>
      <c r="H408">
        <v>460</v>
      </c>
      <c r="I408">
        <f>(Table1_1[[#This Row],[Total sales]]*Table1_1[[#This Row],[Commission]])+Table1_1[[#This Row],[Total sales]]</f>
        <v>501.4</v>
      </c>
    </row>
    <row r="409" spans="1:9" x14ac:dyDescent="0.3">
      <c r="A409" s="1">
        <v>43289</v>
      </c>
      <c r="B409" t="s">
        <v>7</v>
      </c>
      <c r="C409" t="s">
        <v>18</v>
      </c>
      <c r="D409">
        <v>7</v>
      </c>
      <c r="E409">
        <v>80</v>
      </c>
      <c r="F409">
        <v>0.02</v>
      </c>
      <c r="G409" t="s">
        <v>26</v>
      </c>
      <c r="H409">
        <v>560</v>
      </c>
      <c r="I409">
        <f>(Table1_1[[#This Row],[Total sales]]*Table1_1[[#This Row],[Commission]])+Table1_1[[#This Row],[Total sales]]</f>
        <v>571.20000000000005</v>
      </c>
    </row>
    <row r="410" spans="1:9" x14ac:dyDescent="0.3">
      <c r="A410" s="1">
        <v>43289</v>
      </c>
      <c r="B410" t="s">
        <v>23</v>
      </c>
      <c r="C410" t="s">
        <v>18</v>
      </c>
      <c r="D410">
        <v>22</v>
      </c>
      <c r="E410">
        <v>150</v>
      </c>
      <c r="F410">
        <v>0.05</v>
      </c>
      <c r="G410" t="s">
        <v>27</v>
      </c>
      <c r="H410">
        <v>3300</v>
      </c>
      <c r="I410">
        <f>(Table1_1[[#This Row],[Total sales]]*Table1_1[[#This Row],[Commission]])+Table1_1[[#This Row],[Total sales]]</f>
        <v>3465</v>
      </c>
    </row>
    <row r="411" spans="1:9" x14ac:dyDescent="0.3">
      <c r="A411" s="1">
        <v>43289</v>
      </c>
      <c r="B411" t="s">
        <v>10</v>
      </c>
      <c r="C411" t="s">
        <v>21</v>
      </c>
      <c r="D411">
        <v>17</v>
      </c>
      <c r="E411">
        <v>40</v>
      </c>
      <c r="F411">
        <v>0.02</v>
      </c>
      <c r="G411" t="s">
        <v>28</v>
      </c>
      <c r="H411">
        <v>680</v>
      </c>
      <c r="I411">
        <f>(Table1_1[[#This Row],[Total sales]]*Table1_1[[#This Row],[Commission]])+Table1_1[[#This Row],[Total sales]]</f>
        <v>693.6</v>
      </c>
    </row>
    <row r="412" spans="1:9" x14ac:dyDescent="0.3">
      <c r="A412" s="1">
        <v>43289</v>
      </c>
      <c r="B412" t="s">
        <v>20</v>
      </c>
      <c r="C412" t="s">
        <v>8</v>
      </c>
      <c r="D412">
        <v>22</v>
      </c>
      <c r="E412">
        <v>16</v>
      </c>
      <c r="F412">
        <v>0.06</v>
      </c>
      <c r="G412" t="s">
        <v>9</v>
      </c>
      <c r="H412">
        <v>352</v>
      </c>
      <c r="I412">
        <f>(Table1_1[[#This Row],[Total sales]]*Table1_1[[#This Row],[Commission]])+Table1_1[[#This Row],[Total sales]]</f>
        <v>373.12</v>
      </c>
    </row>
    <row r="413" spans="1:9" x14ac:dyDescent="0.3">
      <c r="A413" s="1">
        <v>43289</v>
      </c>
      <c r="B413" t="s">
        <v>20</v>
      </c>
      <c r="C413" t="s">
        <v>21</v>
      </c>
      <c r="D413">
        <v>3</v>
      </c>
      <c r="E413">
        <v>16</v>
      </c>
      <c r="F413">
        <v>0.03</v>
      </c>
      <c r="G413" t="s">
        <v>12</v>
      </c>
      <c r="H413">
        <v>48</v>
      </c>
      <c r="I413">
        <f>(Table1_1[[#This Row],[Total sales]]*Table1_1[[#This Row],[Commission]])+Table1_1[[#This Row],[Total sales]]</f>
        <v>49.44</v>
      </c>
    </row>
    <row r="414" spans="1:9" x14ac:dyDescent="0.3">
      <c r="A414" s="1">
        <v>43289</v>
      </c>
      <c r="B414" t="s">
        <v>13</v>
      </c>
      <c r="C414" t="s">
        <v>21</v>
      </c>
      <c r="D414">
        <v>2</v>
      </c>
      <c r="E414">
        <v>230</v>
      </c>
      <c r="F414">
        <v>0.08</v>
      </c>
      <c r="G414" t="s">
        <v>14</v>
      </c>
      <c r="H414">
        <v>460</v>
      </c>
      <c r="I414">
        <f>(Table1_1[[#This Row],[Total sales]]*Table1_1[[#This Row],[Commission]])+Table1_1[[#This Row],[Total sales]]</f>
        <v>496.8</v>
      </c>
    </row>
    <row r="415" spans="1:9" x14ac:dyDescent="0.3">
      <c r="A415" s="1">
        <v>43289</v>
      </c>
      <c r="B415" t="s">
        <v>20</v>
      </c>
      <c r="C415" t="s">
        <v>8</v>
      </c>
      <c r="D415">
        <v>21</v>
      </c>
      <c r="E415">
        <v>16</v>
      </c>
      <c r="F415">
        <v>0.09</v>
      </c>
      <c r="G415" t="s">
        <v>15</v>
      </c>
      <c r="H415">
        <v>336</v>
      </c>
      <c r="I415">
        <f>(Table1_1[[#This Row],[Total sales]]*Table1_1[[#This Row],[Commission]])+Table1_1[[#This Row],[Total sales]]</f>
        <v>366.24</v>
      </c>
    </row>
    <row r="416" spans="1:9" x14ac:dyDescent="0.3">
      <c r="A416" s="1">
        <v>43289</v>
      </c>
      <c r="B416" t="s">
        <v>7</v>
      </c>
      <c r="C416" t="s">
        <v>18</v>
      </c>
      <c r="D416">
        <v>7</v>
      </c>
      <c r="E416">
        <v>80</v>
      </c>
      <c r="F416">
        <v>7.0000000000000007E-2</v>
      </c>
      <c r="G416" t="s">
        <v>17</v>
      </c>
      <c r="H416">
        <v>560</v>
      </c>
      <c r="I416">
        <f>(Table1_1[[#This Row],[Total sales]]*Table1_1[[#This Row],[Commission]])+Table1_1[[#This Row],[Total sales]]</f>
        <v>599.20000000000005</v>
      </c>
    </row>
    <row r="417" spans="1:9" x14ac:dyDescent="0.3">
      <c r="A417" s="1">
        <v>43289</v>
      </c>
      <c r="B417" t="s">
        <v>23</v>
      </c>
      <c r="C417" t="s">
        <v>11</v>
      </c>
      <c r="D417">
        <v>23</v>
      </c>
      <c r="E417">
        <v>150</v>
      </c>
      <c r="F417">
        <v>0.11</v>
      </c>
      <c r="G417" t="s">
        <v>19</v>
      </c>
      <c r="H417">
        <v>3450</v>
      </c>
      <c r="I417">
        <f>(Table1_1[[#This Row],[Total sales]]*Table1_1[[#This Row],[Commission]])+Table1_1[[#This Row],[Total sales]]</f>
        <v>3829.5</v>
      </c>
    </row>
    <row r="418" spans="1:9" x14ac:dyDescent="0.3">
      <c r="A418" s="1">
        <v>43290</v>
      </c>
      <c r="B418" t="s">
        <v>23</v>
      </c>
      <c r="C418" t="s">
        <v>8</v>
      </c>
      <c r="D418">
        <v>11</v>
      </c>
      <c r="E418">
        <v>150</v>
      </c>
      <c r="F418">
        <v>0.05</v>
      </c>
      <c r="G418" t="s">
        <v>22</v>
      </c>
      <c r="H418">
        <v>1650</v>
      </c>
      <c r="I418">
        <f>(Table1_1[[#This Row],[Total sales]]*Table1_1[[#This Row],[Commission]])+Table1_1[[#This Row],[Total sales]]</f>
        <v>1732.5</v>
      </c>
    </row>
    <row r="419" spans="1:9" x14ac:dyDescent="0.3">
      <c r="A419" s="1">
        <v>43290</v>
      </c>
      <c r="B419" t="s">
        <v>7</v>
      </c>
      <c r="C419" t="s">
        <v>21</v>
      </c>
      <c r="D419">
        <v>16</v>
      </c>
      <c r="E419">
        <v>80</v>
      </c>
      <c r="F419">
        <v>0.05</v>
      </c>
      <c r="G419" t="s">
        <v>24</v>
      </c>
      <c r="H419">
        <v>1280</v>
      </c>
      <c r="I419">
        <f>(Table1_1[[#This Row],[Total sales]]*Table1_1[[#This Row],[Commission]])+Table1_1[[#This Row],[Total sales]]</f>
        <v>1344</v>
      </c>
    </row>
    <row r="420" spans="1:9" x14ac:dyDescent="0.3">
      <c r="A420" s="1">
        <v>43290</v>
      </c>
      <c r="B420" t="s">
        <v>13</v>
      </c>
      <c r="C420" t="s">
        <v>16</v>
      </c>
      <c r="D420">
        <v>5</v>
      </c>
      <c r="E420">
        <v>230</v>
      </c>
      <c r="F420">
        <v>0.1</v>
      </c>
      <c r="G420" t="s">
        <v>25</v>
      </c>
      <c r="H420">
        <v>1150</v>
      </c>
      <c r="I420">
        <f>(Table1_1[[#This Row],[Total sales]]*Table1_1[[#This Row],[Commission]])+Table1_1[[#This Row],[Total sales]]</f>
        <v>1265</v>
      </c>
    </row>
    <row r="421" spans="1:9" x14ac:dyDescent="0.3">
      <c r="A421" s="1">
        <v>43290</v>
      </c>
      <c r="B421" t="s">
        <v>20</v>
      </c>
      <c r="C421" t="s">
        <v>8</v>
      </c>
      <c r="D421">
        <v>22</v>
      </c>
      <c r="E421">
        <v>16</v>
      </c>
      <c r="F421">
        <v>0.01</v>
      </c>
      <c r="G421" t="s">
        <v>26</v>
      </c>
      <c r="H421">
        <v>352</v>
      </c>
      <c r="I421">
        <f>(Table1_1[[#This Row],[Total sales]]*Table1_1[[#This Row],[Commission]])+Table1_1[[#This Row],[Total sales]]</f>
        <v>355.52</v>
      </c>
    </row>
    <row r="422" spans="1:9" x14ac:dyDescent="0.3">
      <c r="A422" s="1">
        <v>43290</v>
      </c>
      <c r="B422" t="s">
        <v>10</v>
      </c>
      <c r="C422" t="s">
        <v>21</v>
      </c>
      <c r="D422">
        <v>7</v>
      </c>
      <c r="E422">
        <v>40</v>
      </c>
      <c r="F422">
        <v>0.12</v>
      </c>
      <c r="G422" t="s">
        <v>9</v>
      </c>
      <c r="H422">
        <v>280</v>
      </c>
      <c r="I422">
        <f>(Table1_1[[#This Row],[Total sales]]*Table1_1[[#This Row],[Commission]])+Table1_1[[#This Row],[Total sales]]</f>
        <v>313.60000000000002</v>
      </c>
    </row>
    <row r="423" spans="1:9" x14ac:dyDescent="0.3">
      <c r="A423" s="1">
        <v>43290</v>
      </c>
      <c r="B423" t="s">
        <v>7</v>
      </c>
      <c r="C423" t="s">
        <v>11</v>
      </c>
      <c r="D423">
        <v>2</v>
      </c>
      <c r="E423">
        <v>80</v>
      </c>
      <c r="F423">
        <v>0.04</v>
      </c>
      <c r="G423" t="s">
        <v>12</v>
      </c>
      <c r="H423">
        <v>160</v>
      </c>
      <c r="I423">
        <f>(Table1_1[[#This Row],[Total sales]]*Table1_1[[#This Row],[Commission]])+Table1_1[[#This Row],[Total sales]]</f>
        <v>166.4</v>
      </c>
    </row>
    <row r="424" spans="1:9" x14ac:dyDescent="0.3">
      <c r="A424" s="1">
        <v>43290</v>
      </c>
      <c r="B424" t="s">
        <v>10</v>
      </c>
      <c r="C424" t="s">
        <v>18</v>
      </c>
      <c r="D424">
        <v>6</v>
      </c>
      <c r="E424">
        <v>40</v>
      </c>
      <c r="F424">
        <v>7.0000000000000007E-2</v>
      </c>
      <c r="G424" t="s">
        <v>14</v>
      </c>
      <c r="H424">
        <v>240</v>
      </c>
      <c r="I424">
        <f>(Table1_1[[#This Row],[Total sales]]*Table1_1[[#This Row],[Commission]])+Table1_1[[#This Row],[Total sales]]</f>
        <v>256.8</v>
      </c>
    </row>
    <row r="425" spans="1:9" x14ac:dyDescent="0.3">
      <c r="A425" s="1">
        <v>43290</v>
      </c>
      <c r="B425" t="s">
        <v>7</v>
      </c>
      <c r="C425" t="s">
        <v>16</v>
      </c>
      <c r="D425">
        <v>6</v>
      </c>
      <c r="E425">
        <v>80</v>
      </c>
      <c r="F425">
        <v>0.01</v>
      </c>
      <c r="G425" t="s">
        <v>15</v>
      </c>
      <c r="H425">
        <v>480</v>
      </c>
      <c r="I425">
        <f>(Table1_1[[#This Row],[Total sales]]*Table1_1[[#This Row],[Commission]])+Table1_1[[#This Row],[Total sales]]</f>
        <v>484.8</v>
      </c>
    </row>
    <row r="426" spans="1:9" x14ac:dyDescent="0.3">
      <c r="A426" s="1">
        <v>43290</v>
      </c>
      <c r="B426" t="s">
        <v>20</v>
      </c>
      <c r="C426" t="s">
        <v>11</v>
      </c>
      <c r="D426">
        <v>22</v>
      </c>
      <c r="E426">
        <v>16</v>
      </c>
      <c r="F426">
        <v>0.01</v>
      </c>
      <c r="G426" t="s">
        <v>17</v>
      </c>
      <c r="H426">
        <v>352</v>
      </c>
      <c r="I426">
        <f>(Table1_1[[#This Row],[Total sales]]*Table1_1[[#This Row],[Commission]])+Table1_1[[#This Row],[Total sales]]</f>
        <v>355.52</v>
      </c>
    </row>
    <row r="427" spans="1:9" x14ac:dyDescent="0.3">
      <c r="A427" s="1">
        <v>43290</v>
      </c>
      <c r="B427" t="s">
        <v>13</v>
      </c>
      <c r="C427" t="s">
        <v>18</v>
      </c>
      <c r="D427">
        <v>7</v>
      </c>
      <c r="E427">
        <v>230</v>
      </c>
      <c r="F427">
        <v>0.06</v>
      </c>
      <c r="G427" t="s">
        <v>19</v>
      </c>
      <c r="H427">
        <v>1610</v>
      </c>
      <c r="I427">
        <f>(Table1_1[[#This Row],[Total sales]]*Table1_1[[#This Row],[Commission]])+Table1_1[[#This Row],[Total sales]]</f>
        <v>1706.6</v>
      </c>
    </row>
    <row r="428" spans="1:9" x14ac:dyDescent="0.3">
      <c r="A428" s="1">
        <v>43291</v>
      </c>
      <c r="B428" t="s">
        <v>20</v>
      </c>
      <c r="C428" t="s">
        <v>18</v>
      </c>
      <c r="D428">
        <v>22</v>
      </c>
      <c r="E428">
        <v>16</v>
      </c>
      <c r="F428">
        <v>0.03</v>
      </c>
      <c r="G428" t="s">
        <v>22</v>
      </c>
      <c r="H428">
        <v>352</v>
      </c>
      <c r="I428">
        <f>(Table1_1[[#This Row],[Total sales]]*Table1_1[[#This Row],[Commission]])+Table1_1[[#This Row],[Total sales]]</f>
        <v>362.56</v>
      </c>
    </row>
    <row r="429" spans="1:9" x14ac:dyDescent="0.3">
      <c r="A429" s="1">
        <v>43291</v>
      </c>
      <c r="B429" t="s">
        <v>10</v>
      </c>
      <c r="C429" t="s">
        <v>21</v>
      </c>
      <c r="D429">
        <v>20</v>
      </c>
      <c r="E429">
        <v>40</v>
      </c>
      <c r="F429">
        <v>0.05</v>
      </c>
      <c r="G429" t="s">
        <v>24</v>
      </c>
      <c r="H429">
        <v>800</v>
      </c>
      <c r="I429">
        <f>(Table1_1[[#This Row],[Total sales]]*Table1_1[[#This Row],[Commission]])+Table1_1[[#This Row],[Total sales]]</f>
        <v>840</v>
      </c>
    </row>
    <row r="430" spans="1:9" x14ac:dyDescent="0.3">
      <c r="A430" s="1">
        <v>43291</v>
      </c>
      <c r="B430" t="s">
        <v>10</v>
      </c>
      <c r="C430" t="s">
        <v>11</v>
      </c>
      <c r="D430">
        <v>19</v>
      </c>
      <c r="E430">
        <v>40</v>
      </c>
      <c r="F430">
        <v>0.1</v>
      </c>
      <c r="G430" t="s">
        <v>25</v>
      </c>
      <c r="H430">
        <v>760</v>
      </c>
      <c r="I430">
        <f>(Table1_1[[#This Row],[Total sales]]*Table1_1[[#This Row],[Commission]])+Table1_1[[#This Row],[Total sales]]</f>
        <v>836</v>
      </c>
    </row>
    <row r="431" spans="1:9" x14ac:dyDescent="0.3">
      <c r="A431" s="1">
        <v>43291</v>
      </c>
      <c r="B431" t="s">
        <v>20</v>
      </c>
      <c r="C431" t="s">
        <v>8</v>
      </c>
      <c r="D431">
        <v>18</v>
      </c>
      <c r="E431">
        <v>16</v>
      </c>
      <c r="F431">
        <v>0.05</v>
      </c>
      <c r="G431" t="s">
        <v>26</v>
      </c>
      <c r="H431">
        <v>288</v>
      </c>
      <c r="I431">
        <f>(Table1_1[[#This Row],[Total sales]]*Table1_1[[#This Row],[Commission]])+Table1_1[[#This Row],[Total sales]]</f>
        <v>302.39999999999998</v>
      </c>
    </row>
    <row r="432" spans="1:9" x14ac:dyDescent="0.3">
      <c r="A432" s="1">
        <v>43291</v>
      </c>
      <c r="B432" t="s">
        <v>10</v>
      </c>
      <c r="C432" t="s">
        <v>16</v>
      </c>
      <c r="D432">
        <v>2</v>
      </c>
      <c r="E432">
        <v>40</v>
      </c>
      <c r="F432">
        <v>0.02</v>
      </c>
      <c r="G432" t="s">
        <v>27</v>
      </c>
      <c r="H432">
        <v>80</v>
      </c>
      <c r="I432">
        <f>(Table1_1[[#This Row],[Total sales]]*Table1_1[[#This Row],[Commission]])+Table1_1[[#This Row],[Total sales]]</f>
        <v>81.599999999999994</v>
      </c>
    </row>
    <row r="433" spans="1:9" x14ac:dyDescent="0.3">
      <c r="A433" s="1">
        <v>43291</v>
      </c>
      <c r="B433" t="s">
        <v>10</v>
      </c>
      <c r="C433" t="s">
        <v>18</v>
      </c>
      <c r="D433">
        <v>7</v>
      </c>
      <c r="E433">
        <v>40</v>
      </c>
      <c r="F433">
        <v>7.0000000000000007E-2</v>
      </c>
      <c r="G433" t="s">
        <v>28</v>
      </c>
      <c r="H433">
        <v>280</v>
      </c>
      <c r="I433">
        <f>(Table1_1[[#This Row],[Total sales]]*Table1_1[[#This Row],[Commission]])+Table1_1[[#This Row],[Total sales]]</f>
        <v>299.60000000000002</v>
      </c>
    </row>
    <row r="434" spans="1:9" x14ac:dyDescent="0.3">
      <c r="A434" s="1">
        <v>43291</v>
      </c>
      <c r="B434" t="s">
        <v>23</v>
      </c>
      <c r="C434" t="s">
        <v>16</v>
      </c>
      <c r="D434">
        <v>11</v>
      </c>
      <c r="E434">
        <v>150</v>
      </c>
      <c r="F434">
        <v>0.05</v>
      </c>
      <c r="G434" t="s">
        <v>9</v>
      </c>
      <c r="H434">
        <v>1650</v>
      </c>
      <c r="I434">
        <f>(Table1_1[[#This Row],[Total sales]]*Table1_1[[#This Row],[Commission]])+Table1_1[[#This Row],[Total sales]]</f>
        <v>1732.5</v>
      </c>
    </row>
    <row r="435" spans="1:9" x14ac:dyDescent="0.3">
      <c r="A435" s="1">
        <v>43291</v>
      </c>
      <c r="B435" t="s">
        <v>7</v>
      </c>
      <c r="C435" t="s">
        <v>11</v>
      </c>
      <c r="D435">
        <v>14</v>
      </c>
      <c r="E435">
        <v>80</v>
      </c>
      <c r="F435">
        <v>0.11</v>
      </c>
      <c r="G435" t="s">
        <v>12</v>
      </c>
      <c r="H435">
        <v>1120</v>
      </c>
      <c r="I435">
        <f>(Table1_1[[#This Row],[Total sales]]*Table1_1[[#This Row],[Commission]])+Table1_1[[#This Row],[Total sales]]</f>
        <v>1243.2</v>
      </c>
    </row>
    <row r="436" spans="1:9" x14ac:dyDescent="0.3">
      <c r="A436" s="1">
        <v>43291</v>
      </c>
      <c r="B436" t="s">
        <v>10</v>
      </c>
      <c r="C436" t="s">
        <v>21</v>
      </c>
      <c r="D436">
        <v>7</v>
      </c>
      <c r="E436">
        <v>40</v>
      </c>
      <c r="F436">
        <v>0.04</v>
      </c>
      <c r="G436" t="s">
        <v>14</v>
      </c>
      <c r="H436">
        <v>280</v>
      </c>
      <c r="I436">
        <f>(Table1_1[[#This Row],[Total sales]]*Table1_1[[#This Row],[Commission]])+Table1_1[[#This Row],[Total sales]]</f>
        <v>291.2</v>
      </c>
    </row>
    <row r="437" spans="1:9" x14ac:dyDescent="0.3">
      <c r="A437" s="1">
        <v>43291</v>
      </c>
      <c r="B437" t="s">
        <v>7</v>
      </c>
      <c r="C437" t="s">
        <v>18</v>
      </c>
      <c r="D437">
        <v>14</v>
      </c>
      <c r="E437">
        <v>80</v>
      </c>
      <c r="F437">
        <v>0.05</v>
      </c>
      <c r="G437" t="s">
        <v>15</v>
      </c>
      <c r="H437">
        <v>1120</v>
      </c>
      <c r="I437">
        <f>(Table1_1[[#This Row],[Total sales]]*Table1_1[[#This Row],[Commission]])+Table1_1[[#This Row],[Total sales]]</f>
        <v>1176</v>
      </c>
    </row>
    <row r="438" spans="1:9" x14ac:dyDescent="0.3">
      <c r="A438" s="1">
        <v>43292</v>
      </c>
      <c r="B438" t="s">
        <v>20</v>
      </c>
      <c r="C438" t="s">
        <v>16</v>
      </c>
      <c r="D438">
        <v>12</v>
      </c>
      <c r="E438">
        <v>16</v>
      </c>
      <c r="F438">
        <v>0.11</v>
      </c>
      <c r="G438" t="s">
        <v>17</v>
      </c>
      <c r="H438">
        <v>192</v>
      </c>
      <c r="I438">
        <f>(Table1_1[[#This Row],[Total sales]]*Table1_1[[#This Row],[Commission]])+Table1_1[[#This Row],[Total sales]]</f>
        <v>213.12</v>
      </c>
    </row>
    <row r="439" spans="1:9" x14ac:dyDescent="0.3">
      <c r="A439" s="1">
        <v>43292</v>
      </c>
      <c r="B439" t="s">
        <v>10</v>
      </c>
      <c r="C439" t="s">
        <v>21</v>
      </c>
      <c r="D439">
        <v>11</v>
      </c>
      <c r="E439">
        <v>40</v>
      </c>
      <c r="F439">
        <v>0.05</v>
      </c>
      <c r="G439" t="s">
        <v>19</v>
      </c>
      <c r="H439">
        <v>440</v>
      </c>
      <c r="I439">
        <f>(Table1_1[[#This Row],[Total sales]]*Table1_1[[#This Row],[Commission]])+Table1_1[[#This Row],[Total sales]]</f>
        <v>462</v>
      </c>
    </row>
    <row r="440" spans="1:9" x14ac:dyDescent="0.3">
      <c r="A440" s="1">
        <v>43292</v>
      </c>
      <c r="B440" t="s">
        <v>20</v>
      </c>
      <c r="C440" t="s">
        <v>16</v>
      </c>
      <c r="D440">
        <v>14</v>
      </c>
      <c r="E440">
        <v>16</v>
      </c>
      <c r="F440">
        <v>0.01</v>
      </c>
      <c r="G440" t="s">
        <v>22</v>
      </c>
      <c r="H440">
        <v>224</v>
      </c>
      <c r="I440">
        <f>(Table1_1[[#This Row],[Total sales]]*Table1_1[[#This Row],[Commission]])+Table1_1[[#This Row],[Total sales]]</f>
        <v>226.24</v>
      </c>
    </row>
    <row r="441" spans="1:9" x14ac:dyDescent="0.3">
      <c r="A441" s="1">
        <v>43292</v>
      </c>
      <c r="B441" t="s">
        <v>13</v>
      </c>
      <c r="C441" t="s">
        <v>18</v>
      </c>
      <c r="D441">
        <v>2</v>
      </c>
      <c r="E441">
        <v>230</v>
      </c>
      <c r="F441">
        <v>0.08</v>
      </c>
      <c r="G441" t="s">
        <v>24</v>
      </c>
      <c r="H441">
        <v>460</v>
      </c>
      <c r="I441">
        <f>(Table1_1[[#This Row],[Total sales]]*Table1_1[[#This Row],[Commission]])+Table1_1[[#This Row],[Total sales]]</f>
        <v>496.8</v>
      </c>
    </row>
    <row r="442" spans="1:9" x14ac:dyDescent="0.3">
      <c r="A442" s="1">
        <v>43292</v>
      </c>
      <c r="B442" t="s">
        <v>20</v>
      </c>
      <c r="C442" t="s">
        <v>8</v>
      </c>
      <c r="D442">
        <v>20</v>
      </c>
      <c r="E442">
        <v>16</v>
      </c>
      <c r="F442">
        <v>0.11</v>
      </c>
      <c r="G442" t="s">
        <v>25</v>
      </c>
      <c r="H442">
        <v>320</v>
      </c>
      <c r="I442">
        <f>(Table1_1[[#This Row],[Total sales]]*Table1_1[[#This Row],[Commission]])+Table1_1[[#This Row],[Total sales]]</f>
        <v>355.2</v>
      </c>
    </row>
    <row r="443" spans="1:9" x14ac:dyDescent="0.3">
      <c r="A443" s="1">
        <v>43292</v>
      </c>
      <c r="B443" t="s">
        <v>20</v>
      </c>
      <c r="C443" t="s">
        <v>16</v>
      </c>
      <c r="D443">
        <v>6</v>
      </c>
      <c r="E443">
        <v>16</v>
      </c>
      <c r="F443">
        <v>0.06</v>
      </c>
      <c r="G443" t="s">
        <v>26</v>
      </c>
      <c r="H443">
        <v>96</v>
      </c>
      <c r="I443">
        <f>(Table1_1[[#This Row],[Total sales]]*Table1_1[[#This Row],[Commission]])+Table1_1[[#This Row],[Total sales]]</f>
        <v>101.76</v>
      </c>
    </row>
    <row r="444" spans="1:9" x14ac:dyDescent="0.3">
      <c r="A444" s="1">
        <v>43292</v>
      </c>
      <c r="B444" t="s">
        <v>7</v>
      </c>
      <c r="C444" t="s">
        <v>18</v>
      </c>
      <c r="D444">
        <v>17</v>
      </c>
      <c r="E444">
        <v>80</v>
      </c>
      <c r="F444">
        <v>0.05</v>
      </c>
      <c r="G444" t="s">
        <v>27</v>
      </c>
      <c r="H444">
        <v>1360</v>
      </c>
      <c r="I444">
        <f>(Table1_1[[#This Row],[Total sales]]*Table1_1[[#This Row],[Commission]])+Table1_1[[#This Row],[Total sales]]</f>
        <v>1428</v>
      </c>
    </row>
    <row r="445" spans="1:9" x14ac:dyDescent="0.3">
      <c r="A445" s="1">
        <v>43292</v>
      </c>
      <c r="B445" t="s">
        <v>10</v>
      </c>
      <c r="C445" t="s">
        <v>8</v>
      </c>
      <c r="D445">
        <v>2</v>
      </c>
      <c r="E445">
        <v>40</v>
      </c>
      <c r="F445">
        <v>0.12</v>
      </c>
      <c r="G445" t="s">
        <v>28</v>
      </c>
      <c r="H445">
        <v>80</v>
      </c>
      <c r="I445">
        <f>(Table1_1[[#This Row],[Total sales]]*Table1_1[[#This Row],[Commission]])+Table1_1[[#This Row],[Total sales]]</f>
        <v>89.6</v>
      </c>
    </row>
    <row r="446" spans="1:9" x14ac:dyDescent="0.3">
      <c r="A446" s="1">
        <v>43292</v>
      </c>
      <c r="B446" t="s">
        <v>20</v>
      </c>
      <c r="C446" t="s">
        <v>8</v>
      </c>
      <c r="D446">
        <v>7</v>
      </c>
      <c r="E446">
        <v>16</v>
      </c>
      <c r="F446">
        <v>0.12</v>
      </c>
      <c r="G446" t="s">
        <v>9</v>
      </c>
      <c r="H446">
        <v>112</v>
      </c>
      <c r="I446">
        <f>(Table1_1[[#This Row],[Total sales]]*Table1_1[[#This Row],[Commission]])+Table1_1[[#This Row],[Total sales]]</f>
        <v>125.44</v>
      </c>
    </row>
    <row r="447" spans="1:9" x14ac:dyDescent="0.3">
      <c r="A447" s="1">
        <v>43292</v>
      </c>
      <c r="B447" t="s">
        <v>23</v>
      </c>
      <c r="C447" t="s">
        <v>8</v>
      </c>
      <c r="D447">
        <v>7</v>
      </c>
      <c r="E447">
        <v>150</v>
      </c>
      <c r="F447">
        <v>0.02</v>
      </c>
      <c r="G447" t="s">
        <v>12</v>
      </c>
      <c r="H447">
        <v>1050</v>
      </c>
      <c r="I447">
        <f>(Table1_1[[#This Row],[Total sales]]*Table1_1[[#This Row],[Commission]])+Table1_1[[#This Row],[Total sales]]</f>
        <v>1071</v>
      </c>
    </row>
    <row r="448" spans="1:9" x14ac:dyDescent="0.3">
      <c r="A448" s="1">
        <v>43292</v>
      </c>
      <c r="B448" t="s">
        <v>7</v>
      </c>
      <c r="C448" t="s">
        <v>8</v>
      </c>
      <c r="D448">
        <v>20</v>
      </c>
      <c r="E448">
        <v>80</v>
      </c>
      <c r="F448">
        <v>0.01</v>
      </c>
      <c r="G448" t="s">
        <v>14</v>
      </c>
      <c r="H448">
        <v>1600</v>
      </c>
      <c r="I448">
        <f>(Table1_1[[#This Row],[Total sales]]*Table1_1[[#This Row],[Commission]])+Table1_1[[#This Row],[Total sales]]</f>
        <v>1616</v>
      </c>
    </row>
    <row r="449" spans="1:9" x14ac:dyDescent="0.3">
      <c r="A449" s="1">
        <v>43292</v>
      </c>
      <c r="B449" t="s">
        <v>7</v>
      </c>
      <c r="C449" t="s">
        <v>18</v>
      </c>
      <c r="D449">
        <v>11</v>
      </c>
      <c r="E449">
        <v>80</v>
      </c>
      <c r="F449">
        <v>0.01</v>
      </c>
      <c r="G449" t="s">
        <v>15</v>
      </c>
      <c r="H449">
        <v>880</v>
      </c>
      <c r="I449">
        <f>(Table1_1[[#This Row],[Total sales]]*Table1_1[[#This Row],[Commission]])+Table1_1[[#This Row],[Total sales]]</f>
        <v>888.8</v>
      </c>
    </row>
    <row r="450" spans="1:9" x14ac:dyDescent="0.3">
      <c r="A450" s="1">
        <v>43292</v>
      </c>
      <c r="B450" t="s">
        <v>7</v>
      </c>
      <c r="C450" t="s">
        <v>16</v>
      </c>
      <c r="D450">
        <v>10</v>
      </c>
      <c r="E450">
        <v>80</v>
      </c>
      <c r="F450">
        <v>0.08</v>
      </c>
      <c r="G450" t="s">
        <v>17</v>
      </c>
      <c r="H450">
        <v>800</v>
      </c>
      <c r="I450">
        <f>(Table1_1[[#This Row],[Total sales]]*Table1_1[[#This Row],[Commission]])+Table1_1[[#This Row],[Total sales]]</f>
        <v>864</v>
      </c>
    </row>
    <row r="451" spans="1:9" x14ac:dyDescent="0.3">
      <c r="A451" s="1">
        <v>43293</v>
      </c>
      <c r="B451" t="s">
        <v>7</v>
      </c>
      <c r="C451" t="s">
        <v>11</v>
      </c>
      <c r="D451">
        <v>5</v>
      </c>
      <c r="E451">
        <v>80</v>
      </c>
      <c r="F451">
        <v>0.04</v>
      </c>
      <c r="G451" t="s">
        <v>19</v>
      </c>
      <c r="H451">
        <v>400</v>
      </c>
      <c r="I451">
        <f>(Table1_1[[#This Row],[Total sales]]*Table1_1[[#This Row],[Commission]])+Table1_1[[#This Row],[Total sales]]</f>
        <v>416</v>
      </c>
    </row>
    <row r="452" spans="1:9" x14ac:dyDescent="0.3">
      <c r="A452" s="1">
        <v>43293</v>
      </c>
      <c r="B452" t="s">
        <v>7</v>
      </c>
      <c r="C452" t="s">
        <v>18</v>
      </c>
      <c r="D452">
        <v>4</v>
      </c>
      <c r="E452">
        <v>80</v>
      </c>
      <c r="F452">
        <v>0.11</v>
      </c>
      <c r="G452" t="s">
        <v>22</v>
      </c>
      <c r="H452">
        <v>320</v>
      </c>
      <c r="I452">
        <f>(Table1_1[[#This Row],[Total sales]]*Table1_1[[#This Row],[Commission]])+Table1_1[[#This Row],[Total sales]]</f>
        <v>355.2</v>
      </c>
    </row>
    <row r="453" spans="1:9" x14ac:dyDescent="0.3">
      <c r="A453" s="1">
        <v>43293</v>
      </c>
      <c r="B453" t="s">
        <v>20</v>
      </c>
      <c r="C453" t="s">
        <v>16</v>
      </c>
      <c r="D453">
        <v>3</v>
      </c>
      <c r="E453">
        <v>16</v>
      </c>
      <c r="F453">
        <v>0.05</v>
      </c>
      <c r="G453" t="s">
        <v>24</v>
      </c>
      <c r="H453">
        <v>48</v>
      </c>
      <c r="I453">
        <f>(Table1_1[[#This Row],[Total sales]]*Table1_1[[#This Row],[Commission]])+Table1_1[[#This Row],[Total sales]]</f>
        <v>50.4</v>
      </c>
    </row>
    <row r="454" spans="1:9" x14ac:dyDescent="0.3">
      <c r="A454" s="1">
        <v>43293</v>
      </c>
      <c r="B454" t="s">
        <v>7</v>
      </c>
      <c r="C454" t="s">
        <v>8</v>
      </c>
      <c r="D454">
        <v>9</v>
      </c>
      <c r="E454">
        <v>80</v>
      </c>
      <c r="F454">
        <v>0.04</v>
      </c>
      <c r="G454" t="s">
        <v>25</v>
      </c>
      <c r="H454">
        <v>720</v>
      </c>
      <c r="I454">
        <f>(Table1_1[[#This Row],[Total sales]]*Table1_1[[#This Row],[Commission]])+Table1_1[[#This Row],[Total sales]]</f>
        <v>748.8</v>
      </c>
    </row>
    <row r="455" spans="1:9" x14ac:dyDescent="0.3">
      <c r="A455" s="1">
        <v>43293</v>
      </c>
      <c r="B455" t="s">
        <v>7</v>
      </c>
      <c r="C455" t="s">
        <v>21</v>
      </c>
      <c r="D455">
        <v>16</v>
      </c>
      <c r="E455">
        <v>80</v>
      </c>
      <c r="F455">
        <v>0.09</v>
      </c>
      <c r="G455" t="s">
        <v>26</v>
      </c>
      <c r="H455">
        <v>1280</v>
      </c>
      <c r="I455">
        <f>(Table1_1[[#This Row],[Total sales]]*Table1_1[[#This Row],[Commission]])+Table1_1[[#This Row],[Total sales]]</f>
        <v>1395.2</v>
      </c>
    </row>
    <row r="456" spans="1:9" x14ac:dyDescent="0.3">
      <c r="A456" s="1">
        <v>43294</v>
      </c>
      <c r="B456" t="s">
        <v>20</v>
      </c>
      <c r="C456" t="s">
        <v>11</v>
      </c>
      <c r="D456">
        <v>7</v>
      </c>
      <c r="E456">
        <v>16</v>
      </c>
      <c r="F456">
        <v>0.08</v>
      </c>
      <c r="G456" t="s">
        <v>27</v>
      </c>
      <c r="H456">
        <v>112</v>
      </c>
      <c r="I456">
        <f>(Table1_1[[#This Row],[Total sales]]*Table1_1[[#This Row],[Commission]])+Table1_1[[#This Row],[Total sales]]</f>
        <v>120.96000000000001</v>
      </c>
    </row>
    <row r="457" spans="1:9" x14ac:dyDescent="0.3">
      <c r="A457" s="1">
        <v>43294</v>
      </c>
      <c r="B457" t="s">
        <v>23</v>
      </c>
      <c r="C457" t="s">
        <v>11</v>
      </c>
      <c r="D457">
        <v>16</v>
      </c>
      <c r="E457">
        <v>150</v>
      </c>
      <c r="F457">
        <v>0.05</v>
      </c>
      <c r="G457" t="s">
        <v>28</v>
      </c>
      <c r="H457">
        <v>2400</v>
      </c>
      <c r="I457">
        <f>(Table1_1[[#This Row],[Total sales]]*Table1_1[[#This Row],[Commission]])+Table1_1[[#This Row],[Total sales]]</f>
        <v>2520</v>
      </c>
    </row>
    <row r="458" spans="1:9" x14ac:dyDescent="0.3">
      <c r="A458" s="1">
        <v>43294</v>
      </c>
      <c r="B458" t="s">
        <v>20</v>
      </c>
      <c r="C458" t="s">
        <v>18</v>
      </c>
      <c r="D458">
        <v>10</v>
      </c>
      <c r="E458">
        <v>16</v>
      </c>
      <c r="F458">
        <v>0.04</v>
      </c>
      <c r="G458" t="s">
        <v>9</v>
      </c>
      <c r="H458">
        <v>160</v>
      </c>
      <c r="I458">
        <f>(Table1_1[[#This Row],[Total sales]]*Table1_1[[#This Row],[Commission]])+Table1_1[[#This Row],[Total sales]]</f>
        <v>166.4</v>
      </c>
    </row>
    <row r="459" spans="1:9" x14ac:dyDescent="0.3">
      <c r="A459" s="1">
        <v>43294</v>
      </c>
      <c r="B459" t="s">
        <v>10</v>
      </c>
      <c r="C459" t="s">
        <v>11</v>
      </c>
      <c r="D459">
        <v>4</v>
      </c>
      <c r="E459">
        <v>40</v>
      </c>
      <c r="F459">
        <v>0.03</v>
      </c>
      <c r="G459" t="s">
        <v>12</v>
      </c>
      <c r="H459">
        <v>160</v>
      </c>
      <c r="I459">
        <f>(Table1_1[[#This Row],[Total sales]]*Table1_1[[#This Row],[Commission]])+Table1_1[[#This Row],[Total sales]]</f>
        <v>164.8</v>
      </c>
    </row>
    <row r="460" spans="1:9" x14ac:dyDescent="0.3">
      <c r="A460" s="1">
        <v>43294</v>
      </c>
      <c r="B460" t="s">
        <v>10</v>
      </c>
      <c r="C460" t="s">
        <v>11</v>
      </c>
      <c r="D460">
        <v>15</v>
      </c>
      <c r="E460">
        <v>40</v>
      </c>
      <c r="F460">
        <v>0.02</v>
      </c>
      <c r="G460" t="s">
        <v>14</v>
      </c>
      <c r="H460">
        <v>600</v>
      </c>
      <c r="I460">
        <f>(Table1_1[[#This Row],[Total sales]]*Table1_1[[#This Row],[Commission]])+Table1_1[[#This Row],[Total sales]]</f>
        <v>612</v>
      </c>
    </row>
    <row r="461" spans="1:9" x14ac:dyDescent="0.3">
      <c r="A461" s="1">
        <v>43294</v>
      </c>
      <c r="B461" t="s">
        <v>7</v>
      </c>
      <c r="C461" t="s">
        <v>16</v>
      </c>
      <c r="D461">
        <v>6</v>
      </c>
      <c r="E461">
        <v>80</v>
      </c>
      <c r="F461">
        <v>0.09</v>
      </c>
      <c r="G461" t="s">
        <v>15</v>
      </c>
      <c r="H461">
        <v>480</v>
      </c>
      <c r="I461">
        <f>(Table1_1[[#This Row],[Total sales]]*Table1_1[[#This Row],[Commission]])+Table1_1[[#This Row],[Total sales]]</f>
        <v>523.20000000000005</v>
      </c>
    </row>
    <row r="462" spans="1:9" x14ac:dyDescent="0.3">
      <c r="A462" s="1">
        <v>43294</v>
      </c>
      <c r="B462" t="s">
        <v>23</v>
      </c>
      <c r="C462" t="s">
        <v>8</v>
      </c>
      <c r="D462">
        <v>20</v>
      </c>
      <c r="E462">
        <v>150</v>
      </c>
      <c r="F462">
        <v>0.01</v>
      </c>
      <c r="G462" t="s">
        <v>17</v>
      </c>
      <c r="H462">
        <v>3000</v>
      </c>
      <c r="I462">
        <f>(Table1_1[[#This Row],[Total sales]]*Table1_1[[#This Row],[Commission]])+Table1_1[[#This Row],[Total sales]]</f>
        <v>3030</v>
      </c>
    </row>
    <row r="463" spans="1:9" x14ac:dyDescent="0.3">
      <c r="A463" s="1">
        <v>43294</v>
      </c>
      <c r="B463" t="s">
        <v>20</v>
      </c>
      <c r="C463" t="s">
        <v>8</v>
      </c>
      <c r="D463">
        <v>7</v>
      </c>
      <c r="E463">
        <v>16</v>
      </c>
      <c r="F463">
        <v>0.08</v>
      </c>
      <c r="G463" t="s">
        <v>19</v>
      </c>
      <c r="H463">
        <v>112</v>
      </c>
      <c r="I463">
        <f>(Table1_1[[#This Row],[Total sales]]*Table1_1[[#This Row],[Commission]])+Table1_1[[#This Row],[Total sales]]</f>
        <v>120.96000000000001</v>
      </c>
    </row>
    <row r="464" spans="1:9" x14ac:dyDescent="0.3">
      <c r="A464" s="1">
        <v>43294</v>
      </c>
      <c r="B464" t="s">
        <v>7</v>
      </c>
      <c r="C464" t="s">
        <v>11</v>
      </c>
      <c r="D464">
        <v>2</v>
      </c>
      <c r="E464">
        <v>80</v>
      </c>
      <c r="F464">
        <v>7.0000000000000007E-2</v>
      </c>
      <c r="G464" t="s">
        <v>22</v>
      </c>
      <c r="H464">
        <v>160</v>
      </c>
      <c r="I464">
        <f>(Table1_1[[#This Row],[Total sales]]*Table1_1[[#This Row],[Commission]])+Table1_1[[#This Row],[Total sales]]</f>
        <v>171.2</v>
      </c>
    </row>
    <row r="465" spans="1:9" x14ac:dyDescent="0.3">
      <c r="A465" s="1">
        <v>43294</v>
      </c>
      <c r="B465" t="s">
        <v>10</v>
      </c>
      <c r="C465" t="s">
        <v>11</v>
      </c>
      <c r="D465">
        <v>23</v>
      </c>
      <c r="E465">
        <v>40</v>
      </c>
      <c r="F465">
        <v>0.06</v>
      </c>
      <c r="G465" t="s">
        <v>24</v>
      </c>
      <c r="H465">
        <v>920</v>
      </c>
      <c r="I465">
        <f>(Table1_1[[#This Row],[Total sales]]*Table1_1[[#This Row],[Commission]])+Table1_1[[#This Row],[Total sales]]</f>
        <v>975.2</v>
      </c>
    </row>
    <row r="466" spans="1:9" x14ac:dyDescent="0.3">
      <c r="A466" s="1">
        <v>43294</v>
      </c>
      <c r="B466" t="s">
        <v>20</v>
      </c>
      <c r="C466" t="s">
        <v>8</v>
      </c>
      <c r="D466">
        <v>12</v>
      </c>
      <c r="E466">
        <v>16</v>
      </c>
      <c r="F466">
        <v>0.11</v>
      </c>
      <c r="G466" t="s">
        <v>25</v>
      </c>
      <c r="H466">
        <v>192</v>
      </c>
      <c r="I466">
        <f>(Table1_1[[#This Row],[Total sales]]*Table1_1[[#This Row],[Commission]])+Table1_1[[#This Row],[Total sales]]</f>
        <v>213.12</v>
      </c>
    </row>
    <row r="467" spans="1:9" x14ac:dyDescent="0.3">
      <c r="A467" s="1">
        <v>43294</v>
      </c>
      <c r="B467" t="s">
        <v>13</v>
      </c>
      <c r="C467" t="s">
        <v>18</v>
      </c>
      <c r="D467">
        <v>2</v>
      </c>
      <c r="E467">
        <v>230</v>
      </c>
      <c r="F467">
        <v>0.09</v>
      </c>
      <c r="G467" t="s">
        <v>26</v>
      </c>
      <c r="H467">
        <v>460</v>
      </c>
      <c r="I467">
        <f>(Table1_1[[#This Row],[Total sales]]*Table1_1[[#This Row],[Commission]])+Table1_1[[#This Row],[Total sales]]</f>
        <v>501.4</v>
      </c>
    </row>
    <row r="468" spans="1:9" x14ac:dyDescent="0.3">
      <c r="A468" s="1">
        <v>43294</v>
      </c>
      <c r="B468" t="s">
        <v>23</v>
      </c>
      <c r="C468" t="s">
        <v>8</v>
      </c>
      <c r="D468">
        <v>4</v>
      </c>
      <c r="E468">
        <v>150</v>
      </c>
      <c r="F468">
        <v>0.06</v>
      </c>
      <c r="G468" t="s">
        <v>27</v>
      </c>
      <c r="H468">
        <v>600</v>
      </c>
      <c r="I468">
        <f>(Table1_1[[#This Row],[Total sales]]*Table1_1[[#This Row],[Commission]])+Table1_1[[#This Row],[Total sales]]</f>
        <v>636</v>
      </c>
    </row>
    <row r="469" spans="1:9" x14ac:dyDescent="0.3">
      <c r="A469" s="1">
        <v>43294</v>
      </c>
      <c r="B469" t="s">
        <v>10</v>
      </c>
      <c r="C469" t="s">
        <v>8</v>
      </c>
      <c r="D469">
        <v>23</v>
      </c>
      <c r="E469">
        <v>40</v>
      </c>
      <c r="F469">
        <v>7.0000000000000007E-2</v>
      </c>
      <c r="G469" t="s">
        <v>28</v>
      </c>
      <c r="H469">
        <v>920</v>
      </c>
      <c r="I469">
        <f>(Table1_1[[#This Row],[Total sales]]*Table1_1[[#This Row],[Commission]])+Table1_1[[#This Row],[Total sales]]</f>
        <v>984.4</v>
      </c>
    </row>
    <row r="470" spans="1:9" x14ac:dyDescent="0.3">
      <c r="A470" s="1">
        <v>43294</v>
      </c>
      <c r="B470" t="s">
        <v>20</v>
      </c>
      <c r="C470" t="s">
        <v>21</v>
      </c>
      <c r="D470">
        <v>2</v>
      </c>
      <c r="E470">
        <v>16</v>
      </c>
      <c r="F470">
        <v>0.04</v>
      </c>
      <c r="G470" t="s">
        <v>9</v>
      </c>
      <c r="H470">
        <v>32</v>
      </c>
      <c r="I470">
        <f>(Table1_1[[#This Row],[Total sales]]*Table1_1[[#This Row],[Commission]])+Table1_1[[#This Row],[Total sales]]</f>
        <v>33.28</v>
      </c>
    </row>
    <row r="471" spans="1:9" x14ac:dyDescent="0.3">
      <c r="A471" s="1">
        <v>43294</v>
      </c>
      <c r="B471" t="s">
        <v>23</v>
      </c>
      <c r="C471" t="s">
        <v>18</v>
      </c>
      <c r="D471">
        <v>7</v>
      </c>
      <c r="E471">
        <v>150</v>
      </c>
      <c r="F471">
        <v>0.05</v>
      </c>
      <c r="G471" t="s">
        <v>12</v>
      </c>
      <c r="H471">
        <v>1050</v>
      </c>
      <c r="I471">
        <f>(Table1_1[[#This Row],[Total sales]]*Table1_1[[#This Row],[Commission]])+Table1_1[[#This Row],[Total sales]]</f>
        <v>1102.5</v>
      </c>
    </row>
    <row r="472" spans="1:9" x14ac:dyDescent="0.3">
      <c r="A472" s="1">
        <v>43295</v>
      </c>
      <c r="B472" t="s">
        <v>10</v>
      </c>
      <c r="C472" t="s">
        <v>8</v>
      </c>
      <c r="D472">
        <v>15</v>
      </c>
      <c r="E472">
        <v>40</v>
      </c>
      <c r="F472">
        <v>0.06</v>
      </c>
      <c r="G472" t="s">
        <v>14</v>
      </c>
      <c r="H472">
        <v>600</v>
      </c>
      <c r="I472">
        <f>(Table1_1[[#This Row],[Total sales]]*Table1_1[[#This Row],[Commission]])+Table1_1[[#This Row],[Total sales]]</f>
        <v>636</v>
      </c>
    </row>
    <row r="473" spans="1:9" x14ac:dyDescent="0.3">
      <c r="A473" s="1">
        <v>43295</v>
      </c>
      <c r="B473" t="s">
        <v>7</v>
      </c>
      <c r="C473" t="s">
        <v>18</v>
      </c>
      <c r="D473">
        <v>16</v>
      </c>
      <c r="E473">
        <v>80</v>
      </c>
      <c r="F473">
        <v>0.05</v>
      </c>
      <c r="G473" t="s">
        <v>15</v>
      </c>
      <c r="H473">
        <v>1280</v>
      </c>
      <c r="I473">
        <f>(Table1_1[[#This Row],[Total sales]]*Table1_1[[#This Row],[Commission]])+Table1_1[[#This Row],[Total sales]]</f>
        <v>1344</v>
      </c>
    </row>
    <row r="474" spans="1:9" x14ac:dyDescent="0.3">
      <c r="A474" s="1">
        <v>43295</v>
      </c>
      <c r="B474" t="s">
        <v>10</v>
      </c>
      <c r="C474" t="s">
        <v>21</v>
      </c>
      <c r="D474">
        <v>16</v>
      </c>
      <c r="E474">
        <v>40</v>
      </c>
      <c r="F474">
        <v>0.11</v>
      </c>
      <c r="G474" t="s">
        <v>17</v>
      </c>
      <c r="H474">
        <v>640</v>
      </c>
      <c r="I474">
        <f>(Table1_1[[#This Row],[Total sales]]*Table1_1[[#This Row],[Commission]])+Table1_1[[#This Row],[Total sales]]</f>
        <v>710.4</v>
      </c>
    </row>
    <row r="475" spans="1:9" x14ac:dyDescent="0.3">
      <c r="A475" s="1">
        <v>43295</v>
      </c>
      <c r="B475" t="s">
        <v>20</v>
      </c>
      <c r="C475" t="s">
        <v>21</v>
      </c>
      <c r="D475">
        <v>23</v>
      </c>
      <c r="E475">
        <v>16</v>
      </c>
      <c r="F475">
        <v>0.01</v>
      </c>
      <c r="G475" t="s">
        <v>19</v>
      </c>
      <c r="H475">
        <v>368</v>
      </c>
      <c r="I475">
        <f>(Table1_1[[#This Row],[Total sales]]*Table1_1[[#This Row],[Commission]])+Table1_1[[#This Row],[Total sales]]</f>
        <v>371.68</v>
      </c>
    </row>
    <row r="476" spans="1:9" x14ac:dyDescent="0.3">
      <c r="A476" s="1">
        <v>43295</v>
      </c>
      <c r="B476" t="s">
        <v>13</v>
      </c>
      <c r="C476" t="s">
        <v>11</v>
      </c>
      <c r="D476">
        <v>12</v>
      </c>
      <c r="E476">
        <v>230</v>
      </c>
      <c r="F476">
        <v>0.03</v>
      </c>
      <c r="G476" t="s">
        <v>22</v>
      </c>
      <c r="H476">
        <v>2760</v>
      </c>
      <c r="I476">
        <f>(Table1_1[[#This Row],[Total sales]]*Table1_1[[#This Row],[Commission]])+Table1_1[[#This Row],[Total sales]]</f>
        <v>2842.8</v>
      </c>
    </row>
    <row r="477" spans="1:9" x14ac:dyDescent="0.3">
      <c r="A477" s="1">
        <v>43295</v>
      </c>
      <c r="B477" t="s">
        <v>20</v>
      </c>
      <c r="C477" t="s">
        <v>8</v>
      </c>
      <c r="D477">
        <v>4</v>
      </c>
      <c r="E477">
        <v>16</v>
      </c>
      <c r="F477">
        <v>0.12</v>
      </c>
      <c r="G477" t="s">
        <v>24</v>
      </c>
      <c r="H477">
        <v>64</v>
      </c>
      <c r="I477">
        <f>(Table1_1[[#This Row],[Total sales]]*Table1_1[[#This Row],[Commission]])+Table1_1[[#This Row],[Total sales]]</f>
        <v>71.680000000000007</v>
      </c>
    </row>
    <row r="478" spans="1:9" x14ac:dyDescent="0.3">
      <c r="A478" s="1">
        <v>43295</v>
      </c>
      <c r="B478" t="s">
        <v>23</v>
      </c>
      <c r="C478" t="s">
        <v>18</v>
      </c>
      <c r="D478">
        <v>3</v>
      </c>
      <c r="E478">
        <v>150</v>
      </c>
      <c r="F478">
        <v>0.01</v>
      </c>
      <c r="G478" t="s">
        <v>25</v>
      </c>
      <c r="H478">
        <v>450</v>
      </c>
      <c r="I478">
        <f>(Table1_1[[#This Row],[Total sales]]*Table1_1[[#This Row],[Commission]])+Table1_1[[#This Row],[Total sales]]</f>
        <v>454.5</v>
      </c>
    </row>
    <row r="479" spans="1:9" x14ac:dyDescent="0.3">
      <c r="A479" s="1">
        <v>43295</v>
      </c>
      <c r="B479" t="s">
        <v>23</v>
      </c>
      <c r="C479" t="s">
        <v>11</v>
      </c>
      <c r="D479">
        <v>10</v>
      </c>
      <c r="E479">
        <v>150</v>
      </c>
      <c r="F479">
        <v>0.01</v>
      </c>
      <c r="G479" t="s">
        <v>26</v>
      </c>
      <c r="H479">
        <v>1500</v>
      </c>
      <c r="I479">
        <f>(Table1_1[[#This Row],[Total sales]]*Table1_1[[#This Row],[Commission]])+Table1_1[[#This Row],[Total sales]]</f>
        <v>1515</v>
      </c>
    </row>
    <row r="480" spans="1:9" x14ac:dyDescent="0.3">
      <c r="A480" s="1">
        <v>43295</v>
      </c>
      <c r="B480" t="s">
        <v>7</v>
      </c>
      <c r="C480" t="s">
        <v>11</v>
      </c>
      <c r="D480">
        <v>13</v>
      </c>
      <c r="E480">
        <v>80</v>
      </c>
      <c r="F480">
        <v>0.06</v>
      </c>
      <c r="G480" t="s">
        <v>27</v>
      </c>
      <c r="H480">
        <v>1040</v>
      </c>
      <c r="I480">
        <f>(Table1_1[[#This Row],[Total sales]]*Table1_1[[#This Row],[Commission]])+Table1_1[[#This Row],[Total sales]]</f>
        <v>1102.4000000000001</v>
      </c>
    </row>
    <row r="481" spans="1:9" x14ac:dyDescent="0.3">
      <c r="A481" s="1">
        <v>43295</v>
      </c>
      <c r="B481" t="s">
        <v>13</v>
      </c>
      <c r="C481" t="s">
        <v>16</v>
      </c>
      <c r="D481">
        <v>15</v>
      </c>
      <c r="E481">
        <v>230</v>
      </c>
      <c r="F481">
        <v>0.04</v>
      </c>
      <c r="G481" t="s">
        <v>28</v>
      </c>
      <c r="H481">
        <v>3450</v>
      </c>
      <c r="I481">
        <f>(Table1_1[[#This Row],[Total sales]]*Table1_1[[#This Row],[Commission]])+Table1_1[[#This Row],[Total sales]]</f>
        <v>3588</v>
      </c>
    </row>
    <row r="482" spans="1:9" x14ac:dyDescent="0.3">
      <c r="A482" s="1">
        <v>43295</v>
      </c>
      <c r="B482" t="s">
        <v>23</v>
      </c>
      <c r="C482" t="s">
        <v>8</v>
      </c>
      <c r="D482">
        <v>23</v>
      </c>
      <c r="E482">
        <v>150</v>
      </c>
      <c r="F482">
        <v>0.1</v>
      </c>
      <c r="G482" t="s">
        <v>9</v>
      </c>
      <c r="H482">
        <v>3450</v>
      </c>
      <c r="I482">
        <f>(Table1_1[[#This Row],[Total sales]]*Table1_1[[#This Row],[Commission]])+Table1_1[[#This Row],[Total sales]]</f>
        <v>3795</v>
      </c>
    </row>
    <row r="483" spans="1:9" x14ac:dyDescent="0.3">
      <c r="A483" s="1">
        <v>43295</v>
      </c>
      <c r="B483" t="s">
        <v>23</v>
      </c>
      <c r="C483" t="s">
        <v>11</v>
      </c>
      <c r="D483">
        <v>15</v>
      </c>
      <c r="E483">
        <v>150</v>
      </c>
      <c r="F483">
        <v>0.12</v>
      </c>
      <c r="G483" t="s">
        <v>12</v>
      </c>
      <c r="H483">
        <v>2250</v>
      </c>
      <c r="I483">
        <f>(Table1_1[[#This Row],[Total sales]]*Table1_1[[#This Row],[Commission]])+Table1_1[[#This Row],[Total sales]]</f>
        <v>2520</v>
      </c>
    </row>
    <row r="484" spans="1:9" x14ac:dyDescent="0.3">
      <c r="A484" s="1">
        <v>43295</v>
      </c>
      <c r="B484" t="s">
        <v>23</v>
      </c>
      <c r="C484" t="s">
        <v>16</v>
      </c>
      <c r="D484">
        <v>20</v>
      </c>
      <c r="E484">
        <v>150</v>
      </c>
      <c r="F484">
        <v>0.12</v>
      </c>
      <c r="G484" t="s">
        <v>14</v>
      </c>
      <c r="H484">
        <v>3000</v>
      </c>
      <c r="I484">
        <f>(Table1_1[[#This Row],[Total sales]]*Table1_1[[#This Row],[Commission]])+Table1_1[[#This Row],[Total sales]]</f>
        <v>3360</v>
      </c>
    </row>
    <row r="485" spans="1:9" x14ac:dyDescent="0.3">
      <c r="A485" s="1">
        <v>43295</v>
      </c>
      <c r="B485" t="s">
        <v>10</v>
      </c>
      <c r="C485" t="s">
        <v>18</v>
      </c>
      <c r="D485">
        <v>13</v>
      </c>
      <c r="E485">
        <v>40</v>
      </c>
      <c r="F485">
        <v>0.09</v>
      </c>
      <c r="G485" t="s">
        <v>15</v>
      </c>
      <c r="H485">
        <v>520</v>
      </c>
      <c r="I485">
        <f>(Table1_1[[#This Row],[Total sales]]*Table1_1[[#This Row],[Commission]])+Table1_1[[#This Row],[Total sales]]</f>
        <v>566.79999999999995</v>
      </c>
    </row>
    <row r="486" spans="1:9" x14ac:dyDescent="0.3">
      <c r="A486" s="1">
        <v>43296</v>
      </c>
      <c r="B486" t="s">
        <v>20</v>
      </c>
      <c r="C486" t="s">
        <v>16</v>
      </c>
      <c r="D486">
        <v>11</v>
      </c>
      <c r="E486">
        <v>16</v>
      </c>
      <c r="F486">
        <v>0.04</v>
      </c>
      <c r="G486" t="s">
        <v>17</v>
      </c>
      <c r="H486">
        <v>176</v>
      </c>
      <c r="I486">
        <f>(Table1_1[[#This Row],[Total sales]]*Table1_1[[#This Row],[Commission]])+Table1_1[[#This Row],[Total sales]]</f>
        <v>183.04</v>
      </c>
    </row>
    <row r="487" spans="1:9" x14ac:dyDescent="0.3">
      <c r="A487" s="1">
        <v>43296</v>
      </c>
      <c r="B487" t="s">
        <v>23</v>
      </c>
      <c r="C487" t="s">
        <v>16</v>
      </c>
      <c r="D487">
        <v>20</v>
      </c>
      <c r="E487">
        <v>150</v>
      </c>
      <c r="F487">
        <v>0.04</v>
      </c>
      <c r="G487" t="s">
        <v>19</v>
      </c>
      <c r="H487">
        <v>3000</v>
      </c>
      <c r="I487">
        <f>(Table1_1[[#This Row],[Total sales]]*Table1_1[[#This Row],[Commission]])+Table1_1[[#This Row],[Total sales]]</f>
        <v>3120</v>
      </c>
    </row>
    <row r="488" spans="1:9" x14ac:dyDescent="0.3">
      <c r="A488" s="1">
        <v>43296</v>
      </c>
      <c r="B488" t="s">
        <v>10</v>
      </c>
      <c r="C488" t="s">
        <v>8</v>
      </c>
      <c r="D488">
        <v>18</v>
      </c>
      <c r="E488">
        <v>40</v>
      </c>
      <c r="F488">
        <v>0.11</v>
      </c>
      <c r="G488" t="s">
        <v>22</v>
      </c>
      <c r="H488">
        <v>720</v>
      </c>
      <c r="I488">
        <f>(Table1_1[[#This Row],[Total sales]]*Table1_1[[#This Row],[Commission]])+Table1_1[[#This Row],[Total sales]]</f>
        <v>799.2</v>
      </c>
    </row>
    <row r="489" spans="1:9" x14ac:dyDescent="0.3">
      <c r="A489" s="1">
        <v>43296</v>
      </c>
      <c r="B489" t="s">
        <v>10</v>
      </c>
      <c r="C489" t="s">
        <v>16</v>
      </c>
      <c r="D489">
        <v>2</v>
      </c>
      <c r="E489">
        <v>40</v>
      </c>
      <c r="F489">
        <v>0.03</v>
      </c>
      <c r="G489" t="s">
        <v>24</v>
      </c>
      <c r="H489">
        <v>80</v>
      </c>
      <c r="I489">
        <f>(Table1_1[[#This Row],[Total sales]]*Table1_1[[#This Row],[Commission]])+Table1_1[[#This Row],[Total sales]]</f>
        <v>82.4</v>
      </c>
    </row>
    <row r="490" spans="1:9" x14ac:dyDescent="0.3">
      <c r="A490" s="1">
        <v>43296</v>
      </c>
      <c r="B490" t="s">
        <v>20</v>
      </c>
      <c r="C490" t="s">
        <v>18</v>
      </c>
      <c r="D490">
        <v>15</v>
      </c>
      <c r="E490">
        <v>16</v>
      </c>
      <c r="F490">
        <v>0.12</v>
      </c>
      <c r="G490" t="s">
        <v>25</v>
      </c>
      <c r="H490">
        <v>240</v>
      </c>
      <c r="I490">
        <f>(Table1_1[[#This Row],[Total sales]]*Table1_1[[#This Row],[Commission]])+Table1_1[[#This Row],[Total sales]]</f>
        <v>268.8</v>
      </c>
    </row>
    <row r="491" spans="1:9" x14ac:dyDescent="0.3">
      <c r="A491" s="1">
        <v>43296</v>
      </c>
      <c r="B491" t="s">
        <v>20</v>
      </c>
      <c r="C491" t="s">
        <v>16</v>
      </c>
      <c r="D491">
        <v>9</v>
      </c>
      <c r="E491">
        <v>16</v>
      </c>
      <c r="F491">
        <v>0.05</v>
      </c>
      <c r="G491" t="s">
        <v>26</v>
      </c>
      <c r="H491">
        <v>144</v>
      </c>
      <c r="I491">
        <f>(Table1_1[[#This Row],[Total sales]]*Table1_1[[#This Row],[Commission]])+Table1_1[[#This Row],[Total sales]]</f>
        <v>151.19999999999999</v>
      </c>
    </row>
    <row r="492" spans="1:9" x14ac:dyDescent="0.3">
      <c r="A492" s="1">
        <v>43296</v>
      </c>
      <c r="B492" t="s">
        <v>10</v>
      </c>
      <c r="C492" t="s">
        <v>21</v>
      </c>
      <c r="D492">
        <v>7</v>
      </c>
      <c r="E492">
        <v>40</v>
      </c>
      <c r="F492">
        <v>0.05</v>
      </c>
      <c r="G492" t="s">
        <v>9</v>
      </c>
      <c r="H492">
        <v>280</v>
      </c>
      <c r="I492">
        <f>(Table1_1[[#This Row],[Total sales]]*Table1_1[[#This Row],[Commission]])+Table1_1[[#This Row],[Total sales]]</f>
        <v>294</v>
      </c>
    </row>
    <row r="493" spans="1:9" x14ac:dyDescent="0.3">
      <c r="A493" s="1">
        <v>43296</v>
      </c>
      <c r="B493" t="s">
        <v>23</v>
      </c>
      <c r="C493" t="s">
        <v>21</v>
      </c>
      <c r="D493">
        <v>4</v>
      </c>
      <c r="E493">
        <v>150</v>
      </c>
      <c r="F493">
        <v>0.05</v>
      </c>
      <c r="G493" t="s">
        <v>12</v>
      </c>
      <c r="H493">
        <v>600</v>
      </c>
      <c r="I493">
        <f>(Table1_1[[#This Row],[Total sales]]*Table1_1[[#This Row],[Commission]])+Table1_1[[#This Row],[Total sales]]</f>
        <v>630</v>
      </c>
    </row>
    <row r="494" spans="1:9" x14ac:dyDescent="0.3">
      <c r="A494" s="1">
        <v>43296</v>
      </c>
      <c r="B494" t="s">
        <v>13</v>
      </c>
      <c r="C494" t="s">
        <v>8</v>
      </c>
      <c r="D494">
        <v>15</v>
      </c>
      <c r="E494">
        <v>230</v>
      </c>
      <c r="F494">
        <v>0.05</v>
      </c>
      <c r="G494" t="s">
        <v>14</v>
      </c>
      <c r="H494">
        <v>3450</v>
      </c>
      <c r="I494">
        <f>(Table1_1[[#This Row],[Total sales]]*Table1_1[[#This Row],[Commission]])+Table1_1[[#This Row],[Total sales]]</f>
        <v>3622.5</v>
      </c>
    </row>
    <row r="495" spans="1:9" x14ac:dyDescent="0.3">
      <c r="A495" s="1">
        <v>43297</v>
      </c>
      <c r="B495" t="s">
        <v>10</v>
      </c>
      <c r="C495" t="s">
        <v>11</v>
      </c>
      <c r="D495">
        <v>12</v>
      </c>
      <c r="E495">
        <v>40</v>
      </c>
      <c r="F495">
        <v>0.1</v>
      </c>
      <c r="G495" t="s">
        <v>15</v>
      </c>
      <c r="H495">
        <v>480</v>
      </c>
      <c r="I495">
        <f>(Table1_1[[#This Row],[Total sales]]*Table1_1[[#This Row],[Commission]])+Table1_1[[#This Row],[Total sales]]</f>
        <v>528</v>
      </c>
    </row>
    <row r="496" spans="1:9" x14ac:dyDescent="0.3">
      <c r="A496" s="1">
        <v>43297</v>
      </c>
      <c r="B496" t="s">
        <v>13</v>
      </c>
      <c r="C496" t="s">
        <v>18</v>
      </c>
      <c r="D496">
        <v>23</v>
      </c>
      <c r="E496">
        <v>230</v>
      </c>
      <c r="F496">
        <v>0.06</v>
      </c>
      <c r="G496" t="s">
        <v>17</v>
      </c>
      <c r="H496">
        <v>5290</v>
      </c>
      <c r="I496">
        <f>(Table1_1[[#This Row],[Total sales]]*Table1_1[[#This Row],[Commission]])+Table1_1[[#This Row],[Total sales]]</f>
        <v>5607.4</v>
      </c>
    </row>
    <row r="497" spans="1:9" x14ac:dyDescent="0.3">
      <c r="A497" s="1">
        <v>43297</v>
      </c>
      <c r="B497" t="s">
        <v>20</v>
      </c>
      <c r="C497" t="s">
        <v>8</v>
      </c>
      <c r="D497">
        <v>11</v>
      </c>
      <c r="E497">
        <v>16</v>
      </c>
      <c r="F497">
        <v>0.09</v>
      </c>
      <c r="G497" t="s">
        <v>19</v>
      </c>
      <c r="H497">
        <v>176</v>
      </c>
      <c r="I497">
        <f>(Table1_1[[#This Row],[Total sales]]*Table1_1[[#This Row],[Commission]])+Table1_1[[#This Row],[Total sales]]</f>
        <v>191.84</v>
      </c>
    </row>
    <row r="498" spans="1:9" x14ac:dyDescent="0.3">
      <c r="A498" s="1">
        <v>43297</v>
      </c>
      <c r="B498" t="s">
        <v>23</v>
      </c>
      <c r="C498" t="s">
        <v>8</v>
      </c>
      <c r="D498">
        <v>9</v>
      </c>
      <c r="E498">
        <v>150</v>
      </c>
      <c r="F498">
        <v>0.1</v>
      </c>
      <c r="G498" t="s">
        <v>22</v>
      </c>
      <c r="H498">
        <v>1350</v>
      </c>
      <c r="I498">
        <f>(Table1_1[[#This Row],[Total sales]]*Table1_1[[#This Row],[Commission]])+Table1_1[[#This Row],[Total sales]]</f>
        <v>1485</v>
      </c>
    </row>
    <row r="499" spans="1:9" x14ac:dyDescent="0.3">
      <c r="A499" s="1">
        <v>43297</v>
      </c>
      <c r="B499" t="s">
        <v>7</v>
      </c>
      <c r="C499" t="s">
        <v>8</v>
      </c>
      <c r="D499">
        <v>18</v>
      </c>
      <c r="E499">
        <v>80</v>
      </c>
      <c r="F499">
        <v>0.02</v>
      </c>
      <c r="G499" t="s">
        <v>24</v>
      </c>
      <c r="H499">
        <v>1440</v>
      </c>
      <c r="I499">
        <f>(Table1_1[[#This Row],[Total sales]]*Table1_1[[#This Row],[Commission]])+Table1_1[[#This Row],[Total sales]]</f>
        <v>1468.8</v>
      </c>
    </row>
    <row r="500" spans="1:9" x14ac:dyDescent="0.3">
      <c r="A500" s="1">
        <v>43297</v>
      </c>
      <c r="B500" t="s">
        <v>10</v>
      </c>
      <c r="C500" t="s">
        <v>21</v>
      </c>
      <c r="D500">
        <v>23</v>
      </c>
      <c r="E500">
        <v>40</v>
      </c>
      <c r="F500">
        <v>0.04</v>
      </c>
      <c r="G500" t="s">
        <v>25</v>
      </c>
      <c r="H500">
        <v>920</v>
      </c>
      <c r="I500">
        <f>(Table1_1[[#This Row],[Total sales]]*Table1_1[[#This Row],[Commission]])+Table1_1[[#This Row],[Total sales]]</f>
        <v>956.8</v>
      </c>
    </row>
    <row r="501" spans="1:9" x14ac:dyDescent="0.3">
      <c r="A501" s="1">
        <v>43297</v>
      </c>
      <c r="B501" t="s">
        <v>20</v>
      </c>
      <c r="C501" t="s">
        <v>21</v>
      </c>
      <c r="D501">
        <v>17</v>
      </c>
      <c r="E501">
        <v>16</v>
      </c>
      <c r="F501">
        <v>0.1</v>
      </c>
      <c r="G501" t="s">
        <v>26</v>
      </c>
      <c r="H501">
        <v>272</v>
      </c>
      <c r="I501">
        <f>(Table1_1[[#This Row],[Total sales]]*Table1_1[[#This Row],[Commission]])+Table1_1[[#This Row],[Total sales]]</f>
        <v>299.2</v>
      </c>
    </row>
    <row r="502" spans="1:9" x14ac:dyDescent="0.3">
      <c r="A502" s="1">
        <v>43297</v>
      </c>
      <c r="B502" t="s">
        <v>23</v>
      </c>
      <c r="C502" t="s">
        <v>21</v>
      </c>
      <c r="D502">
        <v>17</v>
      </c>
      <c r="E502">
        <v>150</v>
      </c>
      <c r="F502">
        <v>0.02</v>
      </c>
      <c r="G502" t="s">
        <v>27</v>
      </c>
      <c r="H502">
        <v>2550</v>
      </c>
      <c r="I502">
        <f>(Table1_1[[#This Row],[Total sales]]*Table1_1[[#This Row],[Commission]])+Table1_1[[#This Row],[Total sales]]</f>
        <v>2601</v>
      </c>
    </row>
    <row r="503" spans="1:9" x14ac:dyDescent="0.3">
      <c r="A503" s="1">
        <v>43297</v>
      </c>
      <c r="B503" t="s">
        <v>7</v>
      </c>
      <c r="C503" t="s">
        <v>18</v>
      </c>
      <c r="D503">
        <v>21</v>
      </c>
      <c r="E503">
        <v>80</v>
      </c>
      <c r="F503">
        <v>0.02</v>
      </c>
      <c r="G503" t="s">
        <v>28</v>
      </c>
      <c r="H503">
        <v>1680</v>
      </c>
      <c r="I503">
        <f>(Table1_1[[#This Row],[Total sales]]*Table1_1[[#This Row],[Commission]])+Table1_1[[#This Row],[Total sales]]</f>
        <v>1713.6</v>
      </c>
    </row>
    <row r="504" spans="1:9" x14ac:dyDescent="0.3">
      <c r="A504" s="1">
        <v>43297</v>
      </c>
      <c r="B504" t="s">
        <v>10</v>
      </c>
      <c r="C504" t="s">
        <v>18</v>
      </c>
      <c r="D504">
        <v>11</v>
      </c>
      <c r="E504">
        <v>40</v>
      </c>
      <c r="F504">
        <v>0.06</v>
      </c>
      <c r="G504" t="s">
        <v>9</v>
      </c>
      <c r="H504">
        <v>440</v>
      </c>
      <c r="I504">
        <f>(Table1_1[[#This Row],[Total sales]]*Table1_1[[#This Row],[Commission]])+Table1_1[[#This Row],[Total sales]]</f>
        <v>466.4</v>
      </c>
    </row>
    <row r="505" spans="1:9" x14ac:dyDescent="0.3">
      <c r="A505" s="1">
        <v>43297</v>
      </c>
      <c r="B505" t="s">
        <v>10</v>
      </c>
      <c r="C505" t="s">
        <v>8</v>
      </c>
      <c r="D505">
        <v>19</v>
      </c>
      <c r="E505">
        <v>40</v>
      </c>
      <c r="F505">
        <v>0.04</v>
      </c>
      <c r="G505" t="s">
        <v>12</v>
      </c>
      <c r="H505">
        <v>760</v>
      </c>
      <c r="I505">
        <f>(Table1_1[[#This Row],[Total sales]]*Table1_1[[#This Row],[Commission]])+Table1_1[[#This Row],[Total sales]]</f>
        <v>790.4</v>
      </c>
    </row>
    <row r="506" spans="1:9" x14ac:dyDescent="0.3">
      <c r="A506" s="1">
        <v>43297</v>
      </c>
      <c r="B506" t="s">
        <v>10</v>
      </c>
      <c r="C506" t="s">
        <v>8</v>
      </c>
      <c r="D506">
        <v>23</v>
      </c>
      <c r="E506">
        <v>40</v>
      </c>
      <c r="F506">
        <v>0.03</v>
      </c>
      <c r="G506" t="s">
        <v>14</v>
      </c>
      <c r="H506">
        <v>920</v>
      </c>
      <c r="I506">
        <f>(Table1_1[[#This Row],[Total sales]]*Table1_1[[#This Row],[Commission]])+Table1_1[[#This Row],[Total sales]]</f>
        <v>947.6</v>
      </c>
    </row>
    <row r="507" spans="1:9" x14ac:dyDescent="0.3">
      <c r="A507" s="1">
        <v>43297</v>
      </c>
      <c r="B507" t="s">
        <v>13</v>
      </c>
      <c r="C507" t="s">
        <v>11</v>
      </c>
      <c r="D507">
        <v>14</v>
      </c>
      <c r="E507">
        <v>230</v>
      </c>
      <c r="F507">
        <v>0.05</v>
      </c>
      <c r="G507" t="s">
        <v>15</v>
      </c>
      <c r="H507">
        <v>3220</v>
      </c>
      <c r="I507">
        <f>(Table1_1[[#This Row],[Total sales]]*Table1_1[[#This Row],[Commission]])+Table1_1[[#This Row],[Total sales]]</f>
        <v>3381</v>
      </c>
    </row>
    <row r="508" spans="1:9" x14ac:dyDescent="0.3">
      <c r="A508" s="1">
        <v>43297</v>
      </c>
      <c r="B508" t="s">
        <v>10</v>
      </c>
      <c r="C508" t="s">
        <v>16</v>
      </c>
      <c r="D508">
        <v>18</v>
      </c>
      <c r="E508">
        <v>40</v>
      </c>
      <c r="F508">
        <v>0.03</v>
      </c>
      <c r="G508" t="s">
        <v>17</v>
      </c>
      <c r="H508">
        <v>720</v>
      </c>
      <c r="I508">
        <f>(Table1_1[[#This Row],[Total sales]]*Table1_1[[#This Row],[Commission]])+Table1_1[[#This Row],[Total sales]]</f>
        <v>741.6</v>
      </c>
    </row>
    <row r="509" spans="1:9" x14ac:dyDescent="0.3">
      <c r="A509" s="1">
        <v>43297</v>
      </c>
      <c r="B509" t="s">
        <v>23</v>
      </c>
      <c r="C509" t="s">
        <v>11</v>
      </c>
      <c r="D509">
        <v>2</v>
      </c>
      <c r="E509">
        <v>150</v>
      </c>
      <c r="F509">
        <v>0.09</v>
      </c>
      <c r="G509" t="s">
        <v>19</v>
      </c>
      <c r="H509">
        <v>300</v>
      </c>
      <c r="I509">
        <f>(Table1_1[[#This Row],[Total sales]]*Table1_1[[#This Row],[Commission]])+Table1_1[[#This Row],[Total sales]]</f>
        <v>327</v>
      </c>
    </row>
    <row r="510" spans="1:9" x14ac:dyDescent="0.3">
      <c r="A510" s="1">
        <v>43297</v>
      </c>
      <c r="B510" t="s">
        <v>13</v>
      </c>
      <c r="C510" t="s">
        <v>11</v>
      </c>
      <c r="D510">
        <v>7</v>
      </c>
      <c r="E510">
        <v>230</v>
      </c>
      <c r="F510">
        <v>0.05</v>
      </c>
      <c r="G510" t="s">
        <v>22</v>
      </c>
      <c r="H510">
        <v>1610</v>
      </c>
      <c r="I510">
        <f>(Table1_1[[#This Row],[Total sales]]*Table1_1[[#This Row],[Commission]])+Table1_1[[#This Row],[Total sales]]</f>
        <v>1690.5</v>
      </c>
    </row>
    <row r="511" spans="1:9" x14ac:dyDescent="0.3">
      <c r="A511" s="1">
        <v>43298</v>
      </c>
      <c r="B511" t="s">
        <v>23</v>
      </c>
      <c r="C511" t="s">
        <v>16</v>
      </c>
      <c r="D511">
        <v>9</v>
      </c>
      <c r="E511">
        <v>150</v>
      </c>
      <c r="F511">
        <v>0.02</v>
      </c>
      <c r="G511" t="s">
        <v>24</v>
      </c>
      <c r="H511">
        <v>1350</v>
      </c>
      <c r="I511">
        <f>(Table1_1[[#This Row],[Total sales]]*Table1_1[[#This Row],[Commission]])+Table1_1[[#This Row],[Total sales]]</f>
        <v>1377</v>
      </c>
    </row>
    <row r="512" spans="1:9" x14ac:dyDescent="0.3">
      <c r="A512" s="1">
        <v>43298</v>
      </c>
      <c r="B512" t="s">
        <v>10</v>
      </c>
      <c r="C512" t="s">
        <v>21</v>
      </c>
      <c r="D512">
        <v>3</v>
      </c>
      <c r="E512">
        <v>40</v>
      </c>
      <c r="F512">
        <v>0.03</v>
      </c>
      <c r="G512" t="s">
        <v>25</v>
      </c>
      <c r="H512">
        <v>120</v>
      </c>
      <c r="I512">
        <f>(Table1_1[[#This Row],[Total sales]]*Table1_1[[#This Row],[Commission]])+Table1_1[[#This Row],[Total sales]]</f>
        <v>123.6</v>
      </c>
    </row>
    <row r="513" spans="1:9" x14ac:dyDescent="0.3">
      <c r="A513" s="1">
        <v>43298</v>
      </c>
      <c r="B513" t="s">
        <v>7</v>
      </c>
      <c r="C513" t="s">
        <v>18</v>
      </c>
      <c r="D513">
        <v>2</v>
      </c>
      <c r="E513">
        <v>80</v>
      </c>
      <c r="F513">
        <v>0.08</v>
      </c>
      <c r="G513" t="s">
        <v>26</v>
      </c>
      <c r="H513">
        <v>160</v>
      </c>
      <c r="I513">
        <f>(Table1_1[[#This Row],[Total sales]]*Table1_1[[#This Row],[Commission]])+Table1_1[[#This Row],[Total sales]]</f>
        <v>172.8</v>
      </c>
    </row>
    <row r="514" spans="1:9" x14ac:dyDescent="0.3">
      <c r="A514" s="1">
        <v>43298</v>
      </c>
      <c r="B514" t="s">
        <v>20</v>
      </c>
      <c r="C514" t="s">
        <v>21</v>
      </c>
      <c r="D514">
        <v>19</v>
      </c>
      <c r="E514">
        <v>16</v>
      </c>
      <c r="F514">
        <v>0.02</v>
      </c>
      <c r="G514" t="s">
        <v>27</v>
      </c>
      <c r="H514">
        <v>304</v>
      </c>
      <c r="I514">
        <f>(Table1_1[[#This Row],[Total sales]]*Table1_1[[#This Row],[Commission]])+Table1_1[[#This Row],[Total sales]]</f>
        <v>310.08</v>
      </c>
    </row>
    <row r="515" spans="1:9" x14ac:dyDescent="0.3">
      <c r="A515" s="1">
        <v>43298</v>
      </c>
      <c r="B515" t="s">
        <v>20</v>
      </c>
      <c r="C515" t="s">
        <v>11</v>
      </c>
      <c r="D515">
        <v>21</v>
      </c>
      <c r="E515">
        <v>16</v>
      </c>
      <c r="F515">
        <v>0.02</v>
      </c>
      <c r="G515" t="s">
        <v>28</v>
      </c>
      <c r="H515">
        <v>336</v>
      </c>
      <c r="I515">
        <f>(Table1_1[[#This Row],[Total sales]]*Table1_1[[#This Row],[Commission]])+Table1_1[[#This Row],[Total sales]]</f>
        <v>342.72</v>
      </c>
    </row>
    <row r="516" spans="1:9" x14ac:dyDescent="0.3">
      <c r="A516" s="1">
        <v>43298</v>
      </c>
      <c r="B516" t="s">
        <v>7</v>
      </c>
      <c r="C516" t="s">
        <v>18</v>
      </c>
      <c r="D516">
        <v>21</v>
      </c>
      <c r="E516">
        <v>80</v>
      </c>
      <c r="F516">
        <v>0.05</v>
      </c>
      <c r="G516" t="s">
        <v>9</v>
      </c>
      <c r="H516">
        <v>1680</v>
      </c>
      <c r="I516">
        <f>(Table1_1[[#This Row],[Total sales]]*Table1_1[[#This Row],[Commission]])+Table1_1[[#This Row],[Total sales]]</f>
        <v>1764</v>
      </c>
    </row>
    <row r="517" spans="1:9" x14ac:dyDescent="0.3">
      <c r="A517" s="1">
        <v>43298</v>
      </c>
      <c r="B517" t="s">
        <v>13</v>
      </c>
      <c r="C517" t="s">
        <v>21</v>
      </c>
      <c r="D517">
        <v>3</v>
      </c>
      <c r="E517">
        <v>230</v>
      </c>
      <c r="F517">
        <v>0.1</v>
      </c>
      <c r="G517" t="s">
        <v>12</v>
      </c>
      <c r="H517">
        <v>690</v>
      </c>
      <c r="I517">
        <f>(Table1_1[[#This Row],[Total sales]]*Table1_1[[#This Row],[Commission]])+Table1_1[[#This Row],[Total sales]]</f>
        <v>759</v>
      </c>
    </row>
    <row r="518" spans="1:9" x14ac:dyDescent="0.3">
      <c r="A518" s="1">
        <v>43298</v>
      </c>
      <c r="B518" t="s">
        <v>10</v>
      </c>
      <c r="C518" t="s">
        <v>16</v>
      </c>
      <c r="D518">
        <v>4</v>
      </c>
      <c r="E518">
        <v>40</v>
      </c>
      <c r="F518">
        <v>0.11</v>
      </c>
      <c r="G518" t="s">
        <v>14</v>
      </c>
      <c r="H518">
        <v>160</v>
      </c>
      <c r="I518">
        <f>(Table1_1[[#This Row],[Total sales]]*Table1_1[[#This Row],[Commission]])+Table1_1[[#This Row],[Total sales]]</f>
        <v>177.6</v>
      </c>
    </row>
    <row r="519" spans="1:9" x14ac:dyDescent="0.3">
      <c r="A519" s="1">
        <v>43298</v>
      </c>
      <c r="B519" t="s">
        <v>23</v>
      </c>
      <c r="C519" t="s">
        <v>21</v>
      </c>
      <c r="D519">
        <v>7</v>
      </c>
      <c r="E519">
        <v>150</v>
      </c>
      <c r="F519">
        <v>0.03</v>
      </c>
      <c r="G519" t="s">
        <v>15</v>
      </c>
      <c r="H519">
        <v>1050</v>
      </c>
      <c r="I519">
        <f>(Table1_1[[#This Row],[Total sales]]*Table1_1[[#This Row],[Commission]])+Table1_1[[#This Row],[Total sales]]</f>
        <v>1081.5</v>
      </c>
    </row>
    <row r="520" spans="1:9" x14ac:dyDescent="0.3">
      <c r="A520" s="1">
        <v>43298</v>
      </c>
      <c r="B520" t="s">
        <v>20</v>
      </c>
      <c r="C520" t="s">
        <v>16</v>
      </c>
      <c r="D520">
        <v>11</v>
      </c>
      <c r="E520">
        <v>16</v>
      </c>
      <c r="F520">
        <v>0.12</v>
      </c>
      <c r="G520" t="s">
        <v>17</v>
      </c>
      <c r="H520">
        <v>176</v>
      </c>
      <c r="I520">
        <f>(Table1_1[[#This Row],[Total sales]]*Table1_1[[#This Row],[Commission]])+Table1_1[[#This Row],[Total sales]]</f>
        <v>197.12</v>
      </c>
    </row>
    <row r="521" spans="1:9" x14ac:dyDescent="0.3">
      <c r="A521" s="1">
        <v>43298</v>
      </c>
      <c r="B521" t="s">
        <v>7</v>
      </c>
      <c r="C521" t="s">
        <v>8</v>
      </c>
      <c r="D521">
        <v>17</v>
      </c>
      <c r="E521">
        <v>80</v>
      </c>
      <c r="F521">
        <v>7.0000000000000007E-2</v>
      </c>
      <c r="G521" t="s">
        <v>19</v>
      </c>
      <c r="H521">
        <v>1360</v>
      </c>
      <c r="I521">
        <f>(Table1_1[[#This Row],[Total sales]]*Table1_1[[#This Row],[Commission]])+Table1_1[[#This Row],[Total sales]]</f>
        <v>1455.2</v>
      </c>
    </row>
    <row r="522" spans="1:9" x14ac:dyDescent="0.3">
      <c r="A522" s="1">
        <v>43298</v>
      </c>
      <c r="B522" t="s">
        <v>20</v>
      </c>
      <c r="C522" t="s">
        <v>18</v>
      </c>
      <c r="D522">
        <v>5</v>
      </c>
      <c r="E522">
        <v>16</v>
      </c>
      <c r="F522">
        <v>0.09</v>
      </c>
      <c r="G522" t="s">
        <v>22</v>
      </c>
      <c r="H522">
        <v>80</v>
      </c>
      <c r="I522">
        <f>(Table1_1[[#This Row],[Total sales]]*Table1_1[[#This Row],[Commission]])+Table1_1[[#This Row],[Total sales]]</f>
        <v>87.2</v>
      </c>
    </row>
    <row r="523" spans="1:9" x14ac:dyDescent="0.3">
      <c r="A523" s="1">
        <v>43298</v>
      </c>
      <c r="B523" t="s">
        <v>20</v>
      </c>
      <c r="C523" t="s">
        <v>21</v>
      </c>
      <c r="D523">
        <v>13</v>
      </c>
      <c r="E523">
        <v>16</v>
      </c>
      <c r="F523">
        <v>7.0000000000000007E-2</v>
      </c>
      <c r="G523" t="s">
        <v>24</v>
      </c>
      <c r="H523">
        <v>208</v>
      </c>
      <c r="I523">
        <f>(Table1_1[[#This Row],[Total sales]]*Table1_1[[#This Row],[Commission]])+Table1_1[[#This Row],[Total sales]]</f>
        <v>222.56</v>
      </c>
    </row>
    <row r="524" spans="1:9" x14ac:dyDescent="0.3">
      <c r="A524" s="1">
        <v>43298</v>
      </c>
      <c r="B524" t="s">
        <v>7</v>
      </c>
      <c r="C524" t="s">
        <v>21</v>
      </c>
      <c r="D524">
        <v>9</v>
      </c>
      <c r="E524">
        <v>80</v>
      </c>
      <c r="F524">
        <v>0.02</v>
      </c>
      <c r="G524" t="s">
        <v>25</v>
      </c>
      <c r="H524">
        <v>720</v>
      </c>
      <c r="I524">
        <f>(Table1_1[[#This Row],[Total sales]]*Table1_1[[#This Row],[Commission]])+Table1_1[[#This Row],[Total sales]]</f>
        <v>734.4</v>
      </c>
    </row>
    <row r="525" spans="1:9" x14ac:dyDescent="0.3">
      <c r="A525" s="1">
        <v>43299</v>
      </c>
      <c r="B525" t="s">
        <v>7</v>
      </c>
      <c r="C525" t="s">
        <v>21</v>
      </c>
      <c r="D525">
        <v>9</v>
      </c>
      <c r="E525">
        <v>80</v>
      </c>
      <c r="F525">
        <v>0.02</v>
      </c>
      <c r="G525" t="s">
        <v>26</v>
      </c>
      <c r="H525">
        <v>720</v>
      </c>
      <c r="I525">
        <f>(Table1_1[[#This Row],[Total sales]]*Table1_1[[#This Row],[Commission]])+Table1_1[[#This Row],[Total sales]]</f>
        <v>734.4</v>
      </c>
    </row>
    <row r="526" spans="1:9" x14ac:dyDescent="0.3">
      <c r="A526" s="1">
        <v>43299</v>
      </c>
      <c r="B526" t="s">
        <v>7</v>
      </c>
      <c r="C526" t="s">
        <v>18</v>
      </c>
      <c r="D526">
        <v>22</v>
      </c>
      <c r="E526">
        <v>80</v>
      </c>
      <c r="F526">
        <v>0.03</v>
      </c>
      <c r="G526" t="s">
        <v>27</v>
      </c>
      <c r="H526">
        <v>1760</v>
      </c>
      <c r="I526">
        <f>(Table1_1[[#This Row],[Total sales]]*Table1_1[[#This Row],[Commission]])+Table1_1[[#This Row],[Total sales]]</f>
        <v>1812.8</v>
      </c>
    </row>
    <row r="527" spans="1:9" x14ac:dyDescent="0.3">
      <c r="A527" s="1">
        <v>43299</v>
      </c>
      <c r="B527" t="s">
        <v>23</v>
      </c>
      <c r="C527" t="s">
        <v>8</v>
      </c>
      <c r="D527">
        <v>13</v>
      </c>
      <c r="E527">
        <v>150</v>
      </c>
      <c r="F527">
        <v>0.05</v>
      </c>
      <c r="G527" t="s">
        <v>28</v>
      </c>
      <c r="H527">
        <v>1950</v>
      </c>
      <c r="I527">
        <f>(Table1_1[[#This Row],[Total sales]]*Table1_1[[#This Row],[Commission]])+Table1_1[[#This Row],[Total sales]]</f>
        <v>2047.5</v>
      </c>
    </row>
    <row r="528" spans="1:9" x14ac:dyDescent="0.3">
      <c r="A528" s="1">
        <v>43299</v>
      </c>
      <c r="B528" t="s">
        <v>7</v>
      </c>
      <c r="C528" t="s">
        <v>8</v>
      </c>
      <c r="D528">
        <v>14</v>
      </c>
      <c r="E528">
        <v>80</v>
      </c>
      <c r="F528">
        <v>0.08</v>
      </c>
      <c r="G528" t="s">
        <v>9</v>
      </c>
      <c r="H528">
        <v>1120</v>
      </c>
      <c r="I528">
        <f>(Table1_1[[#This Row],[Total sales]]*Table1_1[[#This Row],[Commission]])+Table1_1[[#This Row],[Total sales]]</f>
        <v>1209.5999999999999</v>
      </c>
    </row>
    <row r="529" spans="1:9" x14ac:dyDescent="0.3">
      <c r="A529" s="1">
        <v>43299</v>
      </c>
      <c r="B529" t="s">
        <v>7</v>
      </c>
      <c r="C529" t="s">
        <v>8</v>
      </c>
      <c r="D529">
        <v>6</v>
      </c>
      <c r="E529">
        <v>80</v>
      </c>
      <c r="F529">
        <v>7.0000000000000007E-2</v>
      </c>
      <c r="G529" t="s">
        <v>12</v>
      </c>
      <c r="H529">
        <v>480</v>
      </c>
      <c r="I529">
        <f>(Table1_1[[#This Row],[Total sales]]*Table1_1[[#This Row],[Commission]])+Table1_1[[#This Row],[Total sales]]</f>
        <v>513.6</v>
      </c>
    </row>
    <row r="530" spans="1:9" x14ac:dyDescent="0.3">
      <c r="A530" s="1">
        <v>43299</v>
      </c>
      <c r="B530" t="s">
        <v>7</v>
      </c>
      <c r="C530" t="s">
        <v>8</v>
      </c>
      <c r="D530">
        <v>16</v>
      </c>
      <c r="E530">
        <v>80</v>
      </c>
      <c r="F530">
        <v>0.03</v>
      </c>
      <c r="G530" t="s">
        <v>14</v>
      </c>
      <c r="H530">
        <v>1280</v>
      </c>
      <c r="I530">
        <f>(Table1_1[[#This Row],[Total sales]]*Table1_1[[#This Row],[Commission]])+Table1_1[[#This Row],[Total sales]]</f>
        <v>1318.4</v>
      </c>
    </row>
    <row r="531" spans="1:9" x14ac:dyDescent="0.3">
      <c r="A531" s="1">
        <v>43299</v>
      </c>
      <c r="B531" t="s">
        <v>23</v>
      </c>
      <c r="C531" t="s">
        <v>16</v>
      </c>
      <c r="D531">
        <v>22</v>
      </c>
      <c r="E531">
        <v>150</v>
      </c>
      <c r="F531">
        <v>0.09</v>
      </c>
      <c r="G531" t="s">
        <v>15</v>
      </c>
      <c r="H531">
        <v>3300</v>
      </c>
      <c r="I531">
        <f>(Table1_1[[#This Row],[Total sales]]*Table1_1[[#This Row],[Commission]])+Table1_1[[#This Row],[Total sales]]</f>
        <v>3597</v>
      </c>
    </row>
    <row r="532" spans="1:9" x14ac:dyDescent="0.3">
      <c r="A532" s="1">
        <v>43299</v>
      </c>
      <c r="B532" t="s">
        <v>23</v>
      </c>
      <c r="C532" t="s">
        <v>18</v>
      </c>
      <c r="D532">
        <v>4</v>
      </c>
      <c r="E532">
        <v>150</v>
      </c>
      <c r="F532">
        <v>0.12</v>
      </c>
      <c r="G532" t="s">
        <v>17</v>
      </c>
      <c r="H532">
        <v>600</v>
      </c>
      <c r="I532">
        <f>(Table1_1[[#This Row],[Total sales]]*Table1_1[[#This Row],[Commission]])+Table1_1[[#This Row],[Total sales]]</f>
        <v>672</v>
      </c>
    </row>
    <row r="533" spans="1:9" x14ac:dyDescent="0.3">
      <c r="A533" s="1">
        <v>43299</v>
      </c>
      <c r="B533" t="s">
        <v>13</v>
      </c>
      <c r="C533" t="s">
        <v>21</v>
      </c>
      <c r="D533">
        <v>7</v>
      </c>
      <c r="E533">
        <v>230</v>
      </c>
      <c r="F533">
        <v>0.05</v>
      </c>
      <c r="G533" t="s">
        <v>19</v>
      </c>
      <c r="H533">
        <v>1610</v>
      </c>
      <c r="I533">
        <f>(Table1_1[[#This Row],[Total sales]]*Table1_1[[#This Row],[Commission]])+Table1_1[[#This Row],[Total sales]]</f>
        <v>1690.5</v>
      </c>
    </row>
    <row r="534" spans="1:9" x14ac:dyDescent="0.3">
      <c r="A534" s="1">
        <v>43299</v>
      </c>
      <c r="B534" t="s">
        <v>23</v>
      </c>
      <c r="C534" t="s">
        <v>18</v>
      </c>
      <c r="D534">
        <v>20</v>
      </c>
      <c r="E534">
        <v>150</v>
      </c>
      <c r="F534">
        <v>0.1</v>
      </c>
      <c r="G534" t="s">
        <v>22</v>
      </c>
      <c r="H534">
        <v>3000</v>
      </c>
      <c r="I534">
        <f>(Table1_1[[#This Row],[Total sales]]*Table1_1[[#This Row],[Commission]])+Table1_1[[#This Row],[Total sales]]</f>
        <v>3300</v>
      </c>
    </row>
    <row r="535" spans="1:9" x14ac:dyDescent="0.3">
      <c r="A535" s="1">
        <v>43299</v>
      </c>
      <c r="B535" t="s">
        <v>13</v>
      </c>
      <c r="C535" t="s">
        <v>18</v>
      </c>
      <c r="D535">
        <v>8</v>
      </c>
      <c r="E535">
        <v>230</v>
      </c>
      <c r="F535">
        <v>0.05</v>
      </c>
      <c r="G535" t="s">
        <v>24</v>
      </c>
      <c r="H535">
        <v>1840</v>
      </c>
      <c r="I535">
        <f>(Table1_1[[#This Row],[Total sales]]*Table1_1[[#This Row],[Commission]])+Table1_1[[#This Row],[Total sales]]</f>
        <v>1932</v>
      </c>
    </row>
    <row r="536" spans="1:9" x14ac:dyDescent="0.3">
      <c r="A536" s="1">
        <v>43300</v>
      </c>
      <c r="B536" t="s">
        <v>10</v>
      </c>
      <c r="C536" t="s">
        <v>18</v>
      </c>
      <c r="D536">
        <v>9</v>
      </c>
      <c r="E536">
        <v>40</v>
      </c>
      <c r="F536">
        <v>0.06</v>
      </c>
      <c r="G536" t="s">
        <v>25</v>
      </c>
      <c r="H536">
        <v>360</v>
      </c>
      <c r="I536">
        <f>(Table1_1[[#This Row],[Total sales]]*Table1_1[[#This Row],[Commission]])+Table1_1[[#This Row],[Total sales]]</f>
        <v>381.6</v>
      </c>
    </row>
    <row r="537" spans="1:9" x14ac:dyDescent="0.3">
      <c r="A537" s="1">
        <v>43300</v>
      </c>
      <c r="B537" t="s">
        <v>13</v>
      </c>
      <c r="C537" t="s">
        <v>18</v>
      </c>
      <c r="D537">
        <v>19</v>
      </c>
      <c r="E537">
        <v>230</v>
      </c>
      <c r="F537">
        <v>0.06</v>
      </c>
      <c r="G537" t="s">
        <v>26</v>
      </c>
      <c r="H537">
        <v>4370</v>
      </c>
      <c r="I537">
        <f>(Table1_1[[#This Row],[Total sales]]*Table1_1[[#This Row],[Commission]])+Table1_1[[#This Row],[Total sales]]</f>
        <v>4632.2</v>
      </c>
    </row>
    <row r="538" spans="1:9" x14ac:dyDescent="0.3">
      <c r="A538" s="1">
        <v>43300</v>
      </c>
      <c r="B538" t="s">
        <v>10</v>
      </c>
      <c r="C538" t="s">
        <v>18</v>
      </c>
      <c r="D538">
        <v>22</v>
      </c>
      <c r="E538">
        <v>40</v>
      </c>
      <c r="F538">
        <v>0.01</v>
      </c>
      <c r="G538" t="s">
        <v>27</v>
      </c>
      <c r="H538">
        <v>880</v>
      </c>
      <c r="I538">
        <f>(Table1_1[[#This Row],[Total sales]]*Table1_1[[#This Row],[Commission]])+Table1_1[[#This Row],[Total sales]]</f>
        <v>888.8</v>
      </c>
    </row>
    <row r="539" spans="1:9" x14ac:dyDescent="0.3">
      <c r="A539" s="1">
        <v>43300</v>
      </c>
      <c r="B539" t="s">
        <v>10</v>
      </c>
      <c r="C539" t="s">
        <v>8</v>
      </c>
      <c r="D539">
        <v>22</v>
      </c>
      <c r="E539">
        <v>40</v>
      </c>
      <c r="F539">
        <v>0.02</v>
      </c>
      <c r="G539" t="s">
        <v>28</v>
      </c>
      <c r="H539">
        <v>880</v>
      </c>
      <c r="I539">
        <f>(Table1_1[[#This Row],[Total sales]]*Table1_1[[#This Row],[Commission]])+Table1_1[[#This Row],[Total sales]]</f>
        <v>897.6</v>
      </c>
    </row>
    <row r="540" spans="1:9" x14ac:dyDescent="0.3">
      <c r="A540" s="1">
        <v>43300</v>
      </c>
      <c r="B540" t="s">
        <v>7</v>
      </c>
      <c r="C540" t="s">
        <v>21</v>
      </c>
      <c r="D540">
        <v>10</v>
      </c>
      <c r="E540">
        <v>80</v>
      </c>
      <c r="F540">
        <v>0.06</v>
      </c>
      <c r="G540" t="s">
        <v>9</v>
      </c>
      <c r="H540">
        <v>800</v>
      </c>
      <c r="I540">
        <f>(Table1_1[[#This Row],[Total sales]]*Table1_1[[#This Row],[Commission]])+Table1_1[[#This Row],[Total sales]]</f>
        <v>848</v>
      </c>
    </row>
    <row r="541" spans="1:9" x14ac:dyDescent="0.3">
      <c r="A541" s="1">
        <v>43300</v>
      </c>
      <c r="B541" t="s">
        <v>10</v>
      </c>
      <c r="C541" t="s">
        <v>18</v>
      </c>
      <c r="D541">
        <v>7</v>
      </c>
      <c r="E541">
        <v>40</v>
      </c>
      <c r="F541">
        <v>0.11</v>
      </c>
      <c r="G541" t="s">
        <v>12</v>
      </c>
      <c r="H541">
        <v>280</v>
      </c>
      <c r="I541">
        <f>(Table1_1[[#This Row],[Total sales]]*Table1_1[[#This Row],[Commission]])+Table1_1[[#This Row],[Total sales]]</f>
        <v>310.8</v>
      </c>
    </row>
    <row r="542" spans="1:9" x14ac:dyDescent="0.3">
      <c r="A542" s="1">
        <v>43300</v>
      </c>
      <c r="B542" t="s">
        <v>13</v>
      </c>
      <c r="C542" t="s">
        <v>8</v>
      </c>
      <c r="D542">
        <v>7</v>
      </c>
      <c r="E542">
        <v>230</v>
      </c>
      <c r="F542">
        <v>0.08</v>
      </c>
      <c r="G542" t="s">
        <v>14</v>
      </c>
      <c r="H542">
        <v>1610</v>
      </c>
      <c r="I542">
        <f>(Table1_1[[#This Row],[Total sales]]*Table1_1[[#This Row],[Commission]])+Table1_1[[#This Row],[Total sales]]</f>
        <v>1738.8</v>
      </c>
    </row>
    <row r="543" spans="1:9" x14ac:dyDescent="0.3">
      <c r="A543" s="1">
        <v>43300</v>
      </c>
      <c r="B543" t="s">
        <v>20</v>
      </c>
      <c r="C543" t="s">
        <v>8</v>
      </c>
      <c r="D543">
        <v>18</v>
      </c>
      <c r="E543">
        <v>16</v>
      </c>
      <c r="F543">
        <v>0.11</v>
      </c>
      <c r="G543" t="s">
        <v>15</v>
      </c>
      <c r="H543">
        <v>288</v>
      </c>
      <c r="I543">
        <f>(Table1_1[[#This Row],[Total sales]]*Table1_1[[#This Row],[Commission]])+Table1_1[[#This Row],[Total sales]]</f>
        <v>319.68</v>
      </c>
    </row>
    <row r="544" spans="1:9" x14ac:dyDescent="0.3">
      <c r="A544" s="1">
        <v>43300</v>
      </c>
      <c r="B544" t="s">
        <v>13</v>
      </c>
      <c r="C544" t="s">
        <v>16</v>
      </c>
      <c r="D544">
        <v>14</v>
      </c>
      <c r="E544">
        <v>230</v>
      </c>
      <c r="F544">
        <v>0.12</v>
      </c>
      <c r="G544" t="s">
        <v>17</v>
      </c>
      <c r="H544">
        <v>3220</v>
      </c>
      <c r="I544">
        <f>(Table1_1[[#This Row],[Total sales]]*Table1_1[[#This Row],[Commission]])+Table1_1[[#This Row],[Total sales]]</f>
        <v>3606.4</v>
      </c>
    </row>
    <row r="545" spans="1:9" x14ac:dyDescent="0.3">
      <c r="A545" s="1">
        <v>43300</v>
      </c>
      <c r="B545" t="s">
        <v>10</v>
      </c>
      <c r="C545" t="s">
        <v>11</v>
      </c>
      <c r="D545">
        <v>21</v>
      </c>
      <c r="E545">
        <v>40</v>
      </c>
      <c r="F545">
        <v>0.03</v>
      </c>
      <c r="G545" t="s">
        <v>19</v>
      </c>
      <c r="H545">
        <v>840</v>
      </c>
      <c r="I545">
        <f>(Table1_1[[#This Row],[Total sales]]*Table1_1[[#This Row],[Commission]])+Table1_1[[#This Row],[Total sales]]</f>
        <v>865.2</v>
      </c>
    </row>
    <row r="546" spans="1:9" x14ac:dyDescent="0.3">
      <c r="A546" s="1">
        <v>43300</v>
      </c>
      <c r="B546" t="s">
        <v>23</v>
      </c>
      <c r="C546" t="s">
        <v>8</v>
      </c>
      <c r="D546">
        <v>3</v>
      </c>
      <c r="E546">
        <v>150</v>
      </c>
      <c r="F546">
        <v>0.03</v>
      </c>
      <c r="G546" t="s">
        <v>22</v>
      </c>
      <c r="H546">
        <v>450</v>
      </c>
      <c r="I546">
        <f>(Table1_1[[#This Row],[Total sales]]*Table1_1[[#This Row],[Commission]])+Table1_1[[#This Row],[Total sales]]</f>
        <v>463.5</v>
      </c>
    </row>
    <row r="547" spans="1:9" x14ac:dyDescent="0.3">
      <c r="A547" s="1">
        <v>43300</v>
      </c>
      <c r="B547" t="s">
        <v>7</v>
      </c>
      <c r="C547" t="s">
        <v>8</v>
      </c>
      <c r="D547">
        <v>12</v>
      </c>
      <c r="E547">
        <v>80</v>
      </c>
      <c r="F547">
        <v>0.04</v>
      </c>
      <c r="G547" t="s">
        <v>24</v>
      </c>
      <c r="H547">
        <v>960</v>
      </c>
      <c r="I547">
        <f>(Table1_1[[#This Row],[Total sales]]*Table1_1[[#This Row],[Commission]])+Table1_1[[#This Row],[Total sales]]</f>
        <v>998.4</v>
      </c>
    </row>
    <row r="548" spans="1:9" x14ac:dyDescent="0.3">
      <c r="A548" s="1">
        <v>43301</v>
      </c>
      <c r="B548" t="s">
        <v>23</v>
      </c>
      <c r="C548" t="s">
        <v>18</v>
      </c>
      <c r="D548">
        <v>6</v>
      </c>
      <c r="E548">
        <v>150</v>
      </c>
      <c r="F548">
        <v>0.03</v>
      </c>
      <c r="G548" t="s">
        <v>25</v>
      </c>
      <c r="H548">
        <v>900</v>
      </c>
      <c r="I548">
        <f>(Table1_1[[#This Row],[Total sales]]*Table1_1[[#This Row],[Commission]])+Table1_1[[#This Row],[Total sales]]</f>
        <v>927</v>
      </c>
    </row>
    <row r="549" spans="1:9" x14ac:dyDescent="0.3">
      <c r="A549" s="1">
        <v>43301</v>
      </c>
      <c r="B549" t="s">
        <v>10</v>
      </c>
      <c r="C549" t="s">
        <v>16</v>
      </c>
      <c r="D549">
        <v>20</v>
      </c>
      <c r="E549">
        <v>40</v>
      </c>
      <c r="F549">
        <v>0.01</v>
      </c>
      <c r="G549" t="s">
        <v>26</v>
      </c>
      <c r="H549">
        <v>800</v>
      </c>
      <c r="I549">
        <f>(Table1_1[[#This Row],[Total sales]]*Table1_1[[#This Row],[Commission]])+Table1_1[[#This Row],[Total sales]]</f>
        <v>808</v>
      </c>
    </row>
    <row r="550" spans="1:9" x14ac:dyDescent="0.3">
      <c r="A550" s="1">
        <v>43301</v>
      </c>
      <c r="B550" t="s">
        <v>13</v>
      </c>
      <c r="C550" t="s">
        <v>8</v>
      </c>
      <c r="D550">
        <v>3</v>
      </c>
      <c r="E550">
        <v>230</v>
      </c>
      <c r="F550">
        <v>0.06</v>
      </c>
      <c r="G550" t="s">
        <v>22</v>
      </c>
      <c r="H550">
        <v>690</v>
      </c>
      <c r="I550">
        <f>(Table1_1[[#This Row],[Total sales]]*Table1_1[[#This Row],[Commission]])+Table1_1[[#This Row],[Total sales]]</f>
        <v>731.4</v>
      </c>
    </row>
    <row r="551" spans="1:9" x14ac:dyDescent="0.3">
      <c r="A551" s="1">
        <v>43301</v>
      </c>
      <c r="B551" t="s">
        <v>13</v>
      </c>
      <c r="C551" t="s">
        <v>18</v>
      </c>
      <c r="D551">
        <v>3</v>
      </c>
      <c r="E551">
        <v>230</v>
      </c>
      <c r="F551">
        <v>0.01</v>
      </c>
      <c r="G551" t="s">
        <v>24</v>
      </c>
      <c r="H551">
        <v>690</v>
      </c>
      <c r="I551">
        <f>(Table1_1[[#This Row],[Total sales]]*Table1_1[[#This Row],[Commission]])+Table1_1[[#This Row],[Total sales]]</f>
        <v>696.9</v>
      </c>
    </row>
    <row r="552" spans="1:9" x14ac:dyDescent="0.3">
      <c r="A552" s="1">
        <v>43301</v>
      </c>
      <c r="B552" t="s">
        <v>10</v>
      </c>
      <c r="C552" t="s">
        <v>8</v>
      </c>
      <c r="D552">
        <v>20</v>
      </c>
      <c r="E552">
        <v>40</v>
      </c>
      <c r="F552">
        <v>0.04</v>
      </c>
      <c r="G552" t="s">
        <v>25</v>
      </c>
      <c r="H552">
        <v>800</v>
      </c>
      <c r="I552">
        <f>(Table1_1[[#This Row],[Total sales]]*Table1_1[[#This Row],[Commission]])+Table1_1[[#This Row],[Total sales]]</f>
        <v>832</v>
      </c>
    </row>
    <row r="553" spans="1:9" x14ac:dyDescent="0.3">
      <c r="A553" s="1">
        <v>43301</v>
      </c>
      <c r="B553" t="s">
        <v>7</v>
      </c>
      <c r="C553" t="s">
        <v>16</v>
      </c>
      <c r="D553">
        <v>16</v>
      </c>
      <c r="E553">
        <v>80</v>
      </c>
      <c r="F553">
        <v>0.02</v>
      </c>
      <c r="G553" t="s">
        <v>26</v>
      </c>
      <c r="H553">
        <v>1280</v>
      </c>
      <c r="I553">
        <f>(Table1_1[[#This Row],[Total sales]]*Table1_1[[#This Row],[Commission]])+Table1_1[[#This Row],[Total sales]]</f>
        <v>1305.5999999999999</v>
      </c>
    </row>
    <row r="554" spans="1:9" x14ac:dyDescent="0.3">
      <c r="A554" s="1">
        <v>43301</v>
      </c>
      <c r="B554" t="s">
        <v>23</v>
      </c>
      <c r="C554" t="s">
        <v>8</v>
      </c>
      <c r="D554">
        <v>8</v>
      </c>
      <c r="E554">
        <v>150</v>
      </c>
      <c r="F554">
        <v>0.09</v>
      </c>
      <c r="G554" t="s">
        <v>22</v>
      </c>
      <c r="H554">
        <v>1200</v>
      </c>
      <c r="I554">
        <f>(Table1_1[[#This Row],[Total sales]]*Table1_1[[#This Row],[Commission]])+Table1_1[[#This Row],[Total sales]]</f>
        <v>1308</v>
      </c>
    </row>
    <row r="555" spans="1:9" x14ac:dyDescent="0.3">
      <c r="A555" s="1">
        <v>43302</v>
      </c>
      <c r="B555" t="s">
        <v>13</v>
      </c>
      <c r="C555" t="s">
        <v>11</v>
      </c>
      <c r="D555">
        <v>7</v>
      </c>
      <c r="E555">
        <v>230</v>
      </c>
      <c r="F555">
        <v>0.01</v>
      </c>
      <c r="G555" t="s">
        <v>24</v>
      </c>
      <c r="H555">
        <v>1610</v>
      </c>
      <c r="I555">
        <f>(Table1_1[[#This Row],[Total sales]]*Table1_1[[#This Row],[Commission]])+Table1_1[[#This Row],[Total sales]]</f>
        <v>1626.1</v>
      </c>
    </row>
    <row r="556" spans="1:9" x14ac:dyDescent="0.3">
      <c r="A556" s="1">
        <v>43302</v>
      </c>
      <c r="B556" t="s">
        <v>23</v>
      </c>
      <c r="C556" t="s">
        <v>11</v>
      </c>
      <c r="D556">
        <v>23</v>
      </c>
      <c r="E556">
        <v>150</v>
      </c>
      <c r="F556">
        <v>0.11</v>
      </c>
      <c r="G556" t="s">
        <v>25</v>
      </c>
      <c r="H556">
        <v>3450</v>
      </c>
      <c r="I556">
        <f>(Table1_1[[#This Row],[Total sales]]*Table1_1[[#This Row],[Commission]])+Table1_1[[#This Row],[Total sales]]</f>
        <v>3829.5</v>
      </c>
    </row>
    <row r="557" spans="1:9" x14ac:dyDescent="0.3">
      <c r="A557" s="1">
        <v>43302</v>
      </c>
      <c r="B557" t="s">
        <v>10</v>
      </c>
      <c r="C557" t="s">
        <v>21</v>
      </c>
      <c r="D557">
        <v>16</v>
      </c>
      <c r="E557">
        <v>40</v>
      </c>
      <c r="F557">
        <v>0.09</v>
      </c>
      <c r="G557" t="s">
        <v>26</v>
      </c>
      <c r="H557">
        <v>640</v>
      </c>
      <c r="I557">
        <f>(Table1_1[[#This Row],[Total sales]]*Table1_1[[#This Row],[Commission]])+Table1_1[[#This Row],[Total sales]]</f>
        <v>697.6</v>
      </c>
    </row>
    <row r="558" spans="1:9" x14ac:dyDescent="0.3">
      <c r="A558" s="1">
        <v>43302</v>
      </c>
      <c r="B558" t="s">
        <v>10</v>
      </c>
      <c r="C558" t="s">
        <v>21</v>
      </c>
      <c r="D558">
        <v>20</v>
      </c>
      <c r="E558">
        <v>40</v>
      </c>
      <c r="F558">
        <v>0.1</v>
      </c>
      <c r="G558" t="s">
        <v>22</v>
      </c>
      <c r="H558">
        <v>800</v>
      </c>
      <c r="I558">
        <f>(Table1_1[[#This Row],[Total sales]]*Table1_1[[#This Row],[Commission]])+Table1_1[[#This Row],[Total sales]]</f>
        <v>880</v>
      </c>
    </row>
    <row r="559" spans="1:9" x14ac:dyDescent="0.3">
      <c r="A559" s="1">
        <v>43302</v>
      </c>
      <c r="B559" t="s">
        <v>10</v>
      </c>
      <c r="C559" t="s">
        <v>11</v>
      </c>
      <c r="D559">
        <v>18</v>
      </c>
      <c r="E559">
        <v>40</v>
      </c>
      <c r="F559">
        <v>0.08</v>
      </c>
      <c r="G559" t="s">
        <v>24</v>
      </c>
      <c r="H559">
        <v>720</v>
      </c>
      <c r="I559">
        <f>(Table1_1[[#This Row],[Total sales]]*Table1_1[[#This Row],[Commission]])+Table1_1[[#This Row],[Total sales]]</f>
        <v>777.6</v>
      </c>
    </row>
    <row r="560" spans="1:9" x14ac:dyDescent="0.3">
      <c r="A560" s="1">
        <v>43302</v>
      </c>
      <c r="B560" t="s">
        <v>7</v>
      </c>
      <c r="C560" t="s">
        <v>21</v>
      </c>
      <c r="D560">
        <v>22</v>
      </c>
      <c r="E560">
        <v>80</v>
      </c>
      <c r="F560">
        <v>0.09</v>
      </c>
      <c r="G560" t="s">
        <v>25</v>
      </c>
      <c r="H560">
        <v>1760</v>
      </c>
      <c r="I560">
        <f>(Table1_1[[#This Row],[Total sales]]*Table1_1[[#This Row],[Commission]])+Table1_1[[#This Row],[Total sales]]</f>
        <v>1918.4</v>
      </c>
    </row>
    <row r="561" spans="1:9" x14ac:dyDescent="0.3">
      <c r="A561" s="1">
        <v>43302</v>
      </c>
      <c r="B561" t="s">
        <v>23</v>
      </c>
      <c r="C561" t="s">
        <v>11</v>
      </c>
      <c r="D561">
        <v>22</v>
      </c>
      <c r="E561">
        <v>150</v>
      </c>
      <c r="F561">
        <v>0.02</v>
      </c>
      <c r="G561" t="s">
        <v>26</v>
      </c>
      <c r="H561">
        <v>3300</v>
      </c>
      <c r="I561">
        <f>(Table1_1[[#This Row],[Total sales]]*Table1_1[[#This Row],[Commission]])+Table1_1[[#This Row],[Total sales]]</f>
        <v>3366</v>
      </c>
    </row>
    <row r="562" spans="1:9" x14ac:dyDescent="0.3">
      <c r="A562" s="1">
        <v>43302</v>
      </c>
      <c r="B562" t="s">
        <v>23</v>
      </c>
      <c r="C562" t="s">
        <v>11</v>
      </c>
      <c r="D562">
        <v>20</v>
      </c>
      <c r="E562">
        <v>150</v>
      </c>
      <c r="F562">
        <v>0.09</v>
      </c>
      <c r="G562" t="s">
        <v>22</v>
      </c>
      <c r="H562">
        <v>3000</v>
      </c>
      <c r="I562">
        <f>(Table1_1[[#This Row],[Total sales]]*Table1_1[[#This Row],[Commission]])+Table1_1[[#This Row],[Total sales]]</f>
        <v>3270</v>
      </c>
    </row>
    <row r="563" spans="1:9" x14ac:dyDescent="0.3">
      <c r="A563" s="1">
        <v>43302</v>
      </c>
      <c r="B563" t="s">
        <v>20</v>
      </c>
      <c r="C563" t="s">
        <v>8</v>
      </c>
      <c r="D563">
        <v>10</v>
      </c>
      <c r="E563">
        <v>16</v>
      </c>
      <c r="F563">
        <v>0.08</v>
      </c>
      <c r="G563" t="s">
        <v>24</v>
      </c>
      <c r="H563">
        <v>160</v>
      </c>
      <c r="I563">
        <f>(Table1_1[[#This Row],[Total sales]]*Table1_1[[#This Row],[Commission]])+Table1_1[[#This Row],[Total sales]]</f>
        <v>172.8</v>
      </c>
    </row>
    <row r="564" spans="1:9" x14ac:dyDescent="0.3">
      <c r="A564" s="1">
        <v>43302</v>
      </c>
      <c r="B564" t="s">
        <v>10</v>
      </c>
      <c r="C564" t="s">
        <v>16</v>
      </c>
      <c r="D564">
        <v>12</v>
      </c>
      <c r="E564">
        <v>40</v>
      </c>
      <c r="F564">
        <v>0.02</v>
      </c>
      <c r="G564" t="s">
        <v>25</v>
      </c>
      <c r="H564">
        <v>480</v>
      </c>
      <c r="I564">
        <f>(Table1_1[[#This Row],[Total sales]]*Table1_1[[#This Row],[Commission]])+Table1_1[[#This Row],[Total sales]]</f>
        <v>489.6</v>
      </c>
    </row>
    <row r="565" spans="1:9" x14ac:dyDescent="0.3">
      <c r="A565" s="1">
        <v>43302</v>
      </c>
      <c r="B565" t="s">
        <v>23</v>
      </c>
      <c r="C565" t="s">
        <v>8</v>
      </c>
      <c r="D565">
        <v>4</v>
      </c>
      <c r="E565">
        <v>150</v>
      </c>
      <c r="F565">
        <v>0.1</v>
      </c>
      <c r="G565" t="s">
        <v>26</v>
      </c>
      <c r="H565">
        <v>600</v>
      </c>
      <c r="I565">
        <f>(Table1_1[[#This Row],[Total sales]]*Table1_1[[#This Row],[Commission]])+Table1_1[[#This Row],[Total sales]]</f>
        <v>660</v>
      </c>
    </row>
    <row r="566" spans="1:9" x14ac:dyDescent="0.3">
      <c r="A566" s="1">
        <v>43302</v>
      </c>
      <c r="B566" t="s">
        <v>7</v>
      </c>
      <c r="C566" t="s">
        <v>16</v>
      </c>
      <c r="D566">
        <v>5</v>
      </c>
      <c r="E566">
        <v>80</v>
      </c>
      <c r="F566">
        <v>0.09</v>
      </c>
      <c r="G566" t="s">
        <v>22</v>
      </c>
      <c r="H566">
        <v>400</v>
      </c>
      <c r="I566">
        <f>(Table1_1[[#This Row],[Total sales]]*Table1_1[[#This Row],[Commission]])+Table1_1[[#This Row],[Total sales]]</f>
        <v>436</v>
      </c>
    </row>
    <row r="567" spans="1:9" x14ac:dyDescent="0.3">
      <c r="A567" s="1">
        <v>43302</v>
      </c>
      <c r="B567" t="s">
        <v>10</v>
      </c>
      <c r="C567" t="s">
        <v>8</v>
      </c>
      <c r="D567">
        <v>11</v>
      </c>
      <c r="E567">
        <v>40</v>
      </c>
      <c r="F567">
        <v>0.04</v>
      </c>
      <c r="G567" t="s">
        <v>24</v>
      </c>
      <c r="H567">
        <v>440</v>
      </c>
      <c r="I567">
        <f>(Table1_1[[#This Row],[Total sales]]*Table1_1[[#This Row],[Commission]])+Table1_1[[#This Row],[Total sales]]</f>
        <v>457.6</v>
      </c>
    </row>
    <row r="568" spans="1:9" x14ac:dyDescent="0.3">
      <c r="A568" s="1">
        <v>43302</v>
      </c>
      <c r="B568" t="s">
        <v>23</v>
      </c>
      <c r="C568" t="s">
        <v>11</v>
      </c>
      <c r="D568">
        <v>13</v>
      </c>
      <c r="E568">
        <v>150</v>
      </c>
      <c r="F568">
        <v>0.08</v>
      </c>
      <c r="G568" t="s">
        <v>25</v>
      </c>
      <c r="H568">
        <v>1950</v>
      </c>
      <c r="I568">
        <f>(Table1_1[[#This Row],[Total sales]]*Table1_1[[#This Row],[Commission]])+Table1_1[[#This Row],[Total sales]]</f>
        <v>2106</v>
      </c>
    </row>
    <row r="569" spans="1:9" x14ac:dyDescent="0.3">
      <c r="A569" s="1">
        <v>43302</v>
      </c>
      <c r="B569" t="s">
        <v>7</v>
      </c>
      <c r="C569" t="s">
        <v>18</v>
      </c>
      <c r="D569">
        <v>19</v>
      </c>
      <c r="E569">
        <v>80</v>
      </c>
      <c r="F569">
        <v>0.02</v>
      </c>
      <c r="G569" t="s">
        <v>26</v>
      </c>
      <c r="H569">
        <v>1520</v>
      </c>
      <c r="I569">
        <f>(Table1_1[[#This Row],[Total sales]]*Table1_1[[#This Row],[Commission]])+Table1_1[[#This Row],[Total sales]]</f>
        <v>1550.4</v>
      </c>
    </row>
    <row r="570" spans="1:9" x14ac:dyDescent="0.3">
      <c r="A570" s="1">
        <v>43302</v>
      </c>
      <c r="B570" t="s">
        <v>13</v>
      </c>
      <c r="C570" t="s">
        <v>11</v>
      </c>
      <c r="D570">
        <v>7</v>
      </c>
      <c r="E570">
        <v>230</v>
      </c>
      <c r="F570">
        <v>0.01</v>
      </c>
      <c r="G570" t="s">
        <v>22</v>
      </c>
      <c r="H570">
        <v>1610</v>
      </c>
      <c r="I570">
        <f>(Table1_1[[#This Row],[Total sales]]*Table1_1[[#This Row],[Commission]])+Table1_1[[#This Row],[Total sales]]</f>
        <v>1626.1</v>
      </c>
    </row>
    <row r="571" spans="1:9" x14ac:dyDescent="0.3">
      <c r="A571" s="1">
        <v>43303</v>
      </c>
      <c r="B571" t="s">
        <v>7</v>
      </c>
      <c r="C571" t="s">
        <v>21</v>
      </c>
      <c r="D571">
        <v>16</v>
      </c>
      <c r="E571">
        <v>80</v>
      </c>
      <c r="F571">
        <v>0.09</v>
      </c>
      <c r="G571" t="s">
        <v>24</v>
      </c>
      <c r="H571">
        <v>1280</v>
      </c>
      <c r="I571">
        <f>(Table1_1[[#This Row],[Total sales]]*Table1_1[[#This Row],[Commission]])+Table1_1[[#This Row],[Total sales]]</f>
        <v>1395.2</v>
      </c>
    </row>
    <row r="572" spans="1:9" x14ac:dyDescent="0.3">
      <c r="A572" s="1">
        <v>43303</v>
      </c>
      <c r="B572" t="s">
        <v>13</v>
      </c>
      <c r="C572" t="s">
        <v>8</v>
      </c>
      <c r="D572">
        <v>7</v>
      </c>
      <c r="E572">
        <v>230</v>
      </c>
      <c r="F572">
        <v>0.02</v>
      </c>
      <c r="G572" t="s">
        <v>25</v>
      </c>
      <c r="H572">
        <v>1610</v>
      </c>
      <c r="I572">
        <f>(Table1_1[[#This Row],[Total sales]]*Table1_1[[#This Row],[Commission]])+Table1_1[[#This Row],[Total sales]]</f>
        <v>1642.2</v>
      </c>
    </row>
    <row r="573" spans="1:9" x14ac:dyDescent="0.3">
      <c r="A573" s="1">
        <v>43303</v>
      </c>
      <c r="B573" t="s">
        <v>10</v>
      </c>
      <c r="C573" t="s">
        <v>8</v>
      </c>
      <c r="D573">
        <v>5</v>
      </c>
      <c r="E573">
        <v>40</v>
      </c>
      <c r="F573">
        <v>0.06</v>
      </c>
      <c r="G573" t="s">
        <v>26</v>
      </c>
      <c r="H573">
        <v>200</v>
      </c>
      <c r="I573">
        <f>(Table1_1[[#This Row],[Total sales]]*Table1_1[[#This Row],[Commission]])+Table1_1[[#This Row],[Total sales]]</f>
        <v>212</v>
      </c>
    </row>
    <row r="574" spans="1:9" x14ac:dyDescent="0.3">
      <c r="A574" s="1">
        <v>43303</v>
      </c>
      <c r="B574" t="s">
        <v>23</v>
      </c>
      <c r="C574" t="s">
        <v>16</v>
      </c>
      <c r="D574">
        <v>9</v>
      </c>
      <c r="E574">
        <v>150</v>
      </c>
      <c r="F574">
        <v>0.06</v>
      </c>
      <c r="G574" t="s">
        <v>22</v>
      </c>
      <c r="H574">
        <v>1350</v>
      </c>
      <c r="I574">
        <f>(Table1_1[[#This Row],[Total sales]]*Table1_1[[#This Row],[Commission]])+Table1_1[[#This Row],[Total sales]]</f>
        <v>1431</v>
      </c>
    </row>
    <row r="575" spans="1:9" x14ac:dyDescent="0.3">
      <c r="A575" s="1">
        <v>43303</v>
      </c>
      <c r="B575" t="s">
        <v>10</v>
      </c>
      <c r="C575" t="s">
        <v>21</v>
      </c>
      <c r="D575">
        <v>20</v>
      </c>
      <c r="E575">
        <v>40</v>
      </c>
      <c r="F575">
        <v>7.0000000000000007E-2</v>
      </c>
      <c r="G575" t="s">
        <v>24</v>
      </c>
      <c r="H575">
        <v>800</v>
      </c>
      <c r="I575">
        <f>(Table1_1[[#This Row],[Total sales]]*Table1_1[[#This Row],[Commission]])+Table1_1[[#This Row],[Total sales]]</f>
        <v>856</v>
      </c>
    </row>
    <row r="576" spans="1:9" x14ac:dyDescent="0.3">
      <c r="A576" s="1">
        <v>43303</v>
      </c>
      <c r="B576" t="s">
        <v>20</v>
      </c>
      <c r="C576" t="s">
        <v>11</v>
      </c>
      <c r="D576">
        <v>20</v>
      </c>
      <c r="E576">
        <v>16</v>
      </c>
      <c r="F576">
        <v>0.06</v>
      </c>
      <c r="G576" t="s">
        <v>25</v>
      </c>
      <c r="H576">
        <v>320</v>
      </c>
      <c r="I576">
        <f>(Table1_1[[#This Row],[Total sales]]*Table1_1[[#This Row],[Commission]])+Table1_1[[#This Row],[Total sales]]</f>
        <v>339.2</v>
      </c>
    </row>
    <row r="577" spans="1:9" x14ac:dyDescent="0.3">
      <c r="A577" s="1">
        <v>43303</v>
      </c>
      <c r="B577" t="s">
        <v>10</v>
      </c>
      <c r="C577" t="s">
        <v>21</v>
      </c>
      <c r="D577">
        <v>5</v>
      </c>
      <c r="E577">
        <v>40</v>
      </c>
      <c r="F577">
        <v>0.03</v>
      </c>
      <c r="G577" t="s">
        <v>26</v>
      </c>
      <c r="H577">
        <v>200</v>
      </c>
      <c r="I577">
        <f>(Table1_1[[#This Row],[Total sales]]*Table1_1[[#This Row],[Commission]])+Table1_1[[#This Row],[Total sales]]</f>
        <v>206</v>
      </c>
    </row>
    <row r="578" spans="1:9" x14ac:dyDescent="0.3">
      <c r="A578" s="1">
        <v>43304</v>
      </c>
      <c r="B578" t="s">
        <v>7</v>
      </c>
      <c r="C578" t="s">
        <v>18</v>
      </c>
      <c r="D578">
        <v>7</v>
      </c>
      <c r="E578">
        <v>80</v>
      </c>
      <c r="F578">
        <v>7.0000000000000007E-2</v>
      </c>
      <c r="G578" t="s">
        <v>22</v>
      </c>
      <c r="H578">
        <v>560</v>
      </c>
      <c r="I578">
        <f>(Table1_1[[#This Row],[Total sales]]*Table1_1[[#This Row],[Commission]])+Table1_1[[#This Row],[Total sales]]</f>
        <v>599.20000000000005</v>
      </c>
    </row>
    <row r="579" spans="1:9" x14ac:dyDescent="0.3">
      <c r="A579" s="1">
        <v>43304</v>
      </c>
      <c r="B579" t="s">
        <v>20</v>
      </c>
      <c r="C579" t="s">
        <v>21</v>
      </c>
      <c r="D579">
        <v>22</v>
      </c>
      <c r="E579">
        <v>16</v>
      </c>
      <c r="F579">
        <v>0.12</v>
      </c>
      <c r="G579" t="s">
        <v>24</v>
      </c>
      <c r="H579">
        <v>352</v>
      </c>
      <c r="I579">
        <f>(Table1_1[[#This Row],[Total sales]]*Table1_1[[#This Row],[Commission]])+Table1_1[[#This Row],[Total sales]]</f>
        <v>394.24</v>
      </c>
    </row>
    <row r="580" spans="1:9" x14ac:dyDescent="0.3">
      <c r="A580" s="1">
        <v>43304</v>
      </c>
      <c r="B580" t="s">
        <v>20</v>
      </c>
      <c r="C580" t="s">
        <v>21</v>
      </c>
      <c r="D580">
        <v>11</v>
      </c>
      <c r="E580">
        <v>16</v>
      </c>
      <c r="F580">
        <v>0.12</v>
      </c>
      <c r="G580" t="s">
        <v>25</v>
      </c>
      <c r="H580">
        <v>176</v>
      </c>
      <c r="I580">
        <f>(Table1_1[[#This Row],[Total sales]]*Table1_1[[#This Row],[Commission]])+Table1_1[[#This Row],[Total sales]]</f>
        <v>197.12</v>
      </c>
    </row>
    <row r="581" spans="1:9" x14ac:dyDescent="0.3">
      <c r="A581" s="1">
        <v>43304</v>
      </c>
      <c r="B581" t="s">
        <v>13</v>
      </c>
      <c r="C581" t="s">
        <v>18</v>
      </c>
      <c r="D581">
        <v>17</v>
      </c>
      <c r="E581">
        <v>230</v>
      </c>
      <c r="F581">
        <v>0.12</v>
      </c>
      <c r="G581" t="s">
        <v>26</v>
      </c>
      <c r="H581">
        <v>3910</v>
      </c>
      <c r="I581">
        <f>(Table1_1[[#This Row],[Total sales]]*Table1_1[[#This Row],[Commission]])+Table1_1[[#This Row],[Total sales]]</f>
        <v>4379.2</v>
      </c>
    </row>
    <row r="582" spans="1:9" x14ac:dyDescent="0.3">
      <c r="A582" s="1">
        <v>43304</v>
      </c>
      <c r="B582" t="s">
        <v>7</v>
      </c>
      <c r="C582" t="s">
        <v>8</v>
      </c>
      <c r="D582">
        <v>7</v>
      </c>
      <c r="E582">
        <v>80</v>
      </c>
      <c r="F582">
        <v>0.02</v>
      </c>
      <c r="G582" t="s">
        <v>22</v>
      </c>
      <c r="H582">
        <v>560</v>
      </c>
      <c r="I582">
        <f>(Table1_1[[#This Row],[Total sales]]*Table1_1[[#This Row],[Commission]])+Table1_1[[#This Row],[Total sales]]</f>
        <v>571.20000000000005</v>
      </c>
    </row>
    <row r="583" spans="1:9" x14ac:dyDescent="0.3">
      <c r="A583" s="1">
        <v>43304</v>
      </c>
      <c r="B583" t="s">
        <v>20</v>
      </c>
      <c r="C583" t="s">
        <v>11</v>
      </c>
      <c r="D583">
        <v>5</v>
      </c>
      <c r="E583">
        <v>16</v>
      </c>
      <c r="F583">
        <v>0.11</v>
      </c>
      <c r="G583" t="s">
        <v>24</v>
      </c>
      <c r="H583">
        <v>80</v>
      </c>
      <c r="I583">
        <f>(Table1_1[[#This Row],[Total sales]]*Table1_1[[#This Row],[Commission]])+Table1_1[[#This Row],[Total sales]]</f>
        <v>88.8</v>
      </c>
    </row>
    <row r="584" spans="1:9" x14ac:dyDescent="0.3">
      <c r="A584" s="1">
        <v>43304</v>
      </c>
      <c r="B584" t="s">
        <v>23</v>
      </c>
      <c r="C584" t="s">
        <v>21</v>
      </c>
      <c r="D584">
        <v>18</v>
      </c>
      <c r="E584">
        <v>150</v>
      </c>
      <c r="F584">
        <v>0.12</v>
      </c>
      <c r="G584" t="s">
        <v>25</v>
      </c>
      <c r="H584">
        <v>2700</v>
      </c>
      <c r="I584">
        <f>(Table1_1[[#This Row],[Total sales]]*Table1_1[[#This Row],[Commission]])+Table1_1[[#This Row],[Total sales]]</f>
        <v>3024</v>
      </c>
    </row>
    <row r="585" spans="1:9" x14ac:dyDescent="0.3">
      <c r="A585" s="1">
        <v>43304</v>
      </c>
      <c r="B585" t="s">
        <v>10</v>
      </c>
      <c r="C585" t="s">
        <v>21</v>
      </c>
      <c r="D585">
        <v>10</v>
      </c>
      <c r="E585">
        <v>40</v>
      </c>
      <c r="F585">
        <v>0.03</v>
      </c>
      <c r="G585" t="s">
        <v>26</v>
      </c>
      <c r="H585">
        <v>400</v>
      </c>
      <c r="I585">
        <f>(Table1_1[[#This Row],[Total sales]]*Table1_1[[#This Row],[Commission]])+Table1_1[[#This Row],[Total sales]]</f>
        <v>412</v>
      </c>
    </row>
    <row r="586" spans="1:9" x14ac:dyDescent="0.3">
      <c r="A586" s="1">
        <v>43304</v>
      </c>
      <c r="B586" t="s">
        <v>10</v>
      </c>
      <c r="C586" t="s">
        <v>21</v>
      </c>
      <c r="D586">
        <v>14</v>
      </c>
      <c r="E586">
        <v>40</v>
      </c>
      <c r="F586">
        <v>0.11</v>
      </c>
      <c r="G586" t="s">
        <v>22</v>
      </c>
      <c r="H586">
        <v>560</v>
      </c>
      <c r="I586">
        <f>(Table1_1[[#This Row],[Total sales]]*Table1_1[[#This Row],[Commission]])+Table1_1[[#This Row],[Total sales]]</f>
        <v>621.6</v>
      </c>
    </row>
    <row r="587" spans="1:9" x14ac:dyDescent="0.3">
      <c r="A587" s="1">
        <v>43304</v>
      </c>
      <c r="B587" t="s">
        <v>10</v>
      </c>
      <c r="C587" t="s">
        <v>21</v>
      </c>
      <c r="D587">
        <v>16</v>
      </c>
      <c r="E587">
        <v>40</v>
      </c>
      <c r="F587">
        <v>0.09</v>
      </c>
      <c r="G587" t="s">
        <v>24</v>
      </c>
      <c r="H587">
        <v>640</v>
      </c>
      <c r="I587">
        <f>(Table1_1[[#This Row],[Total sales]]*Table1_1[[#This Row],[Commission]])+Table1_1[[#This Row],[Total sales]]</f>
        <v>697.6</v>
      </c>
    </row>
    <row r="588" spans="1:9" x14ac:dyDescent="0.3">
      <c r="A588" s="1">
        <v>43305</v>
      </c>
      <c r="B588" t="s">
        <v>10</v>
      </c>
      <c r="C588" t="s">
        <v>18</v>
      </c>
      <c r="D588">
        <v>23</v>
      </c>
      <c r="E588">
        <v>40</v>
      </c>
      <c r="F588">
        <v>0.06</v>
      </c>
      <c r="G588" t="s">
        <v>25</v>
      </c>
      <c r="H588">
        <v>920</v>
      </c>
      <c r="I588">
        <f>(Table1_1[[#This Row],[Total sales]]*Table1_1[[#This Row],[Commission]])+Table1_1[[#This Row],[Total sales]]</f>
        <v>975.2</v>
      </c>
    </row>
    <row r="589" spans="1:9" x14ac:dyDescent="0.3">
      <c r="A589" s="1">
        <v>43305</v>
      </c>
      <c r="B589" t="s">
        <v>13</v>
      </c>
      <c r="C589" t="s">
        <v>18</v>
      </c>
      <c r="D589">
        <v>8</v>
      </c>
      <c r="E589">
        <v>230</v>
      </c>
      <c r="F589">
        <v>0.05</v>
      </c>
      <c r="G589" t="s">
        <v>26</v>
      </c>
      <c r="H589">
        <v>1840</v>
      </c>
      <c r="I589">
        <f>(Table1_1[[#This Row],[Total sales]]*Table1_1[[#This Row],[Commission]])+Table1_1[[#This Row],[Total sales]]</f>
        <v>1932</v>
      </c>
    </row>
    <row r="590" spans="1:9" x14ac:dyDescent="0.3">
      <c r="A590" s="1">
        <v>43305</v>
      </c>
      <c r="B590" t="s">
        <v>20</v>
      </c>
      <c r="C590" t="s">
        <v>18</v>
      </c>
      <c r="D590">
        <v>14</v>
      </c>
      <c r="E590">
        <v>16</v>
      </c>
      <c r="F590">
        <v>0.12</v>
      </c>
      <c r="G590" t="s">
        <v>22</v>
      </c>
      <c r="H590">
        <v>224</v>
      </c>
      <c r="I590">
        <f>(Table1_1[[#This Row],[Total sales]]*Table1_1[[#This Row],[Commission]])+Table1_1[[#This Row],[Total sales]]</f>
        <v>250.88</v>
      </c>
    </row>
    <row r="591" spans="1:9" x14ac:dyDescent="0.3">
      <c r="A591" s="1">
        <v>43305</v>
      </c>
      <c r="B591" t="s">
        <v>7</v>
      </c>
      <c r="C591" t="s">
        <v>8</v>
      </c>
      <c r="D591">
        <v>17</v>
      </c>
      <c r="E591">
        <v>80</v>
      </c>
      <c r="F591">
        <v>0.09</v>
      </c>
      <c r="G591" t="s">
        <v>24</v>
      </c>
      <c r="H591">
        <v>1360</v>
      </c>
      <c r="I591">
        <f>(Table1_1[[#This Row],[Total sales]]*Table1_1[[#This Row],[Commission]])+Table1_1[[#This Row],[Total sales]]</f>
        <v>1482.4</v>
      </c>
    </row>
    <row r="592" spans="1:9" x14ac:dyDescent="0.3">
      <c r="A592" s="1">
        <v>43305</v>
      </c>
      <c r="B592" t="s">
        <v>23</v>
      </c>
      <c r="C592" t="s">
        <v>16</v>
      </c>
      <c r="D592">
        <v>11</v>
      </c>
      <c r="E592">
        <v>150</v>
      </c>
      <c r="F592">
        <v>0.11</v>
      </c>
      <c r="G592" t="s">
        <v>25</v>
      </c>
      <c r="H592">
        <v>1650</v>
      </c>
      <c r="I592">
        <f>(Table1_1[[#This Row],[Total sales]]*Table1_1[[#This Row],[Commission]])+Table1_1[[#This Row],[Total sales]]</f>
        <v>1831.5</v>
      </c>
    </row>
    <row r="593" spans="1:9" x14ac:dyDescent="0.3">
      <c r="A593" s="1">
        <v>43305</v>
      </c>
      <c r="B593" t="s">
        <v>10</v>
      </c>
      <c r="C593" t="s">
        <v>18</v>
      </c>
      <c r="D593">
        <v>15</v>
      </c>
      <c r="E593">
        <v>40</v>
      </c>
      <c r="F593">
        <v>0.03</v>
      </c>
      <c r="G593" t="s">
        <v>26</v>
      </c>
      <c r="H593">
        <v>600</v>
      </c>
      <c r="I593">
        <f>(Table1_1[[#This Row],[Total sales]]*Table1_1[[#This Row],[Commission]])+Table1_1[[#This Row],[Total sales]]</f>
        <v>618</v>
      </c>
    </row>
    <row r="594" spans="1:9" x14ac:dyDescent="0.3">
      <c r="A594" s="1">
        <v>43305</v>
      </c>
      <c r="B594" t="s">
        <v>7</v>
      </c>
      <c r="C594" t="s">
        <v>21</v>
      </c>
      <c r="D594">
        <v>9</v>
      </c>
      <c r="E594">
        <v>80</v>
      </c>
      <c r="F594">
        <v>7.0000000000000007E-2</v>
      </c>
      <c r="G594" t="s">
        <v>22</v>
      </c>
      <c r="H594">
        <v>720</v>
      </c>
      <c r="I594">
        <f>(Table1_1[[#This Row],[Total sales]]*Table1_1[[#This Row],[Commission]])+Table1_1[[#This Row],[Total sales]]</f>
        <v>770.4</v>
      </c>
    </row>
    <row r="595" spans="1:9" x14ac:dyDescent="0.3">
      <c r="A595" s="1">
        <v>43305</v>
      </c>
      <c r="B595" t="s">
        <v>13</v>
      </c>
      <c r="C595" t="s">
        <v>11</v>
      </c>
      <c r="D595">
        <v>22</v>
      </c>
      <c r="E595">
        <v>230</v>
      </c>
      <c r="F595">
        <v>0.04</v>
      </c>
      <c r="G595" t="s">
        <v>24</v>
      </c>
      <c r="H595">
        <v>5060</v>
      </c>
      <c r="I595">
        <f>(Table1_1[[#This Row],[Total sales]]*Table1_1[[#This Row],[Commission]])+Table1_1[[#This Row],[Total sales]]</f>
        <v>5262.4</v>
      </c>
    </row>
    <row r="596" spans="1:9" x14ac:dyDescent="0.3">
      <c r="A596" s="1">
        <v>43305</v>
      </c>
      <c r="B596" t="s">
        <v>13</v>
      </c>
      <c r="C596" t="s">
        <v>11</v>
      </c>
      <c r="D596">
        <v>11</v>
      </c>
      <c r="E596">
        <v>230</v>
      </c>
      <c r="F596">
        <v>0.1</v>
      </c>
      <c r="G596" t="s">
        <v>25</v>
      </c>
      <c r="H596">
        <v>2530</v>
      </c>
      <c r="I596">
        <f>(Table1_1[[#This Row],[Total sales]]*Table1_1[[#This Row],[Commission]])+Table1_1[[#This Row],[Total sales]]</f>
        <v>2783</v>
      </c>
    </row>
    <row r="597" spans="1:9" x14ac:dyDescent="0.3">
      <c r="A597" s="1">
        <v>43305</v>
      </c>
      <c r="B597" t="s">
        <v>10</v>
      </c>
      <c r="C597" t="s">
        <v>16</v>
      </c>
      <c r="D597">
        <v>11</v>
      </c>
      <c r="E597">
        <v>40</v>
      </c>
      <c r="F597">
        <v>0.12</v>
      </c>
      <c r="G597" t="s">
        <v>26</v>
      </c>
      <c r="H597">
        <v>440</v>
      </c>
      <c r="I597">
        <f>(Table1_1[[#This Row],[Total sales]]*Table1_1[[#This Row],[Commission]])+Table1_1[[#This Row],[Total sales]]</f>
        <v>492.8</v>
      </c>
    </row>
    <row r="598" spans="1:9" x14ac:dyDescent="0.3">
      <c r="A598" s="1">
        <v>43305</v>
      </c>
      <c r="B598" t="s">
        <v>10</v>
      </c>
      <c r="C598" t="s">
        <v>18</v>
      </c>
      <c r="D598">
        <v>9</v>
      </c>
      <c r="E598">
        <v>40</v>
      </c>
      <c r="F598">
        <v>0.06</v>
      </c>
      <c r="G598" t="s">
        <v>22</v>
      </c>
      <c r="H598">
        <v>360</v>
      </c>
      <c r="I598">
        <f>(Table1_1[[#This Row],[Total sales]]*Table1_1[[#This Row],[Commission]])+Table1_1[[#This Row],[Total sales]]</f>
        <v>381.6</v>
      </c>
    </row>
    <row r="599" spans="1:9" x14ac:dyDescent="0.3">
      <c r="A599" s="1">
        <v>43306</v>
      </c>
      <c r="B599" t="s">
        <v>10</v>
      </c>
      <c r="C599" t="s">
        <v>18</v>
      </c>
      <c r="D599">
        <v>13</v>
      </c>
      <c r="E599">
        <v>40</v>
      </c>
      <c r="F599">
        <v>0.09</v>
      </c>
      <c r="G599" t="s">
        <v>24</v>
      </c>
      <c r="H599">
        <v>520</v>
      </c>
      <c r="I599">
        <f>(Table1_1[[#This Row],[Total sales]]*Table1_1[[#This Row],[Commission]])+Table1_1[[#This Row],[Total sales]]</f>
        <v>566.79999999999995</v>
      </c>
    </row>
    <row r="600" spans="1:9" x14ac:dyDescent="0.3">
      <c r="A600" s="1">
        <v>43306</v>
      </c>
      <c r="B600" t="s">
        <v>10</v>
      </c>
      <c r="C600" t="s">
        <v>11</v>
      </c>
      <c r="D600">
        <v>4</v>
      </c>
      <c r="E600">
        <v>40</v>
      </c>
      <c r="F600">
        <v>0.12</v>
      </c>
      <c r="G600" t="s">
        <v>25</v>
      </c>
      <c r="H600">
        <v>160</v>
      </c>
      <c r="I600">
        <f>(Table1_1[[#This Row],[Total sales]]*Table1_1[[#This Row],[Commission]])+Table1_1[[#This Row],[Total sales]]</f>
        <v>179.2</v>
      </c>
    </row>
    <row r="601" spans="1:9" x14ac:dyDescent="0.3">
      <c r="A601" s="1">
        <v>43306</v>
      </c>
      <c r="B601" t="s">
        <v>23</v>
      </c>
      <c r="C601" t="s">
        <v>8</v>
      </c>
      <c r="D601">
        <v>22</v>
      </c>
      <c r="E601">
        <v>150</v>
      </c>
      <c r="F601">
        <v>0.05</v>
      </c>
      <c r="G601" t="s">
        <v>26</v>
      </c>
      <c r="H601">
        <v>3300</v>
      </c>
      <c r="I601">
        <f>(Table1_1[[#This Row],[Total sales]]*Table1_1[[#This Row],[Commission]])+Table1_1[[#This Row],[Total sales]]</f>
        <v>3465</v>
      </c>
    </row>
    <row r="602" spans="1:9" x14ac:dyDescent="0.3">
      <c r="A602" s="1">
        <v>43306</v>
      </c>
      <c r="B602" t="s">
        <v>10</v>
      </c>
      <c r="C602" t="s">
        <v>21</v>
      </c>
      <c r="D602">
        <v>21</v>
      </c>
      <c r="E602">
        <v>40</v>
      </c>
      <c r="F602">
        <v>0.01</v>
      </c>
      <c r="G602" t="s">
        <v>22</v>
      </c>
      <c r="H602">
        <v>840</v>
      </c>
      <c r="I602">
        <f>(Table1_1[[#This Row],[Total sales]]*Table1_1[[#This Row],[Commission]])+Table1_1[[#This Row],[Total sales]]</f>
        <v>848.4</v>
      </c>
    </row>
    <row r="603" spans="1:9" x14ac:dyDescent="0.3">
      <c r="A603" s="1">
        <v>43306</v>
      </c>
      <c r="B603" t="s">
        <v>20</v>
      </c>
      <c r="C603" t="s">
        <v>8</v>
      </c>
      <c r="D603">
        <v>16</v>
      </c>
      <c r="E603">
        <v>16</v>
      </c>
      <c r="F603">
        <v>0.03</v>
      </c>
      <c r="G603" t="s">
        <v>24</v>
      </c>
      <c r="H603">
        <v>256</v>
      </c>
      <c r="I603">
        <f>(Table1_1[[#This Row],[Total sales]]*Table1_1[[#This Row],[Commission]])+Table1_1[[#This Row],[Total sales]]</f>
        <v>263.68</v>
      </c>
    </row>
    <row r="604" spans="1:9" x14ac:dyDescent="0.3">
      <c r="A604" s="1">
        <v>43306</v>
      </c>
      <c r="B604" t="s">
        <v>7</v>
      </c>
      <c r="C604" t="s">
        <v>18</v>
      </c>
      <c r="D604">
        <v>16</v>
      </c>
      <c r="E604">
        <v>80</v>
      </c>
      <c r="F604">
        <v>7.0000000000000007E-2</v>
      </c>
      <c r="G604" t="s">
        <v>25</v>
      </c>
      <c r="H604">
        <v>1280</v>
      </c>
      <c r="I604">
        <f>(Table1_1[[#This Row],[Total sales]]*Table1_1[[#This Row],[Commission]])+Table1_1[[#This Row],[Total sales]]</f>
        <v>1369.6</v>
      </c>
    </row>
    <row r="605" spans="1:9" x14ac:dyDescent="0.3">
      <c r="A605" s="1">
        <v>43306</v>
      </c>
      <c r="B605" t="s">
        <v>7</v>
      </c>
      <c r="C605" t="s">
        <v>11</v>
      </c>
      <c r="D605">
        <v>15</v>
      </c>
      <c r="E605">
        <v>80</v>
      </c>
      <c r="F605">
        <v>0.12</v>
      </c>
      <c r="G605" t="s">
        <v>26</v>
      </c>
      <c r="H605">
        <v>1200</v>
      </c>
      <c r="I605">
        <f>(Table1_1[[#This Row],[Total sales]]*Table1_1[[#This Row],[Commission]])+Table1_1[[#This Row],[Total sales]]</f>
        <v>1344</v>
      </c>
    </row>
    <row r="606" spans="1:9" x14ac:dyDescent="0.3">
      <c r="A606" s="1">
        <v>43306</v>
      </c>
      <c r="B606" t="s">
        <v>23</v>
      </c>
      <c r="C606" t="s">
        <v>8</v>
      </c>
      <c r="D606">
        <v>20</v>
      </c>
      <c r="E606">
        <v>150</v>
      </c>
      <c r="F606">
        <v>0.03</v>
      </c>
      <c r="G606" t="s">
        <v>22</v>
      </c>
      <c r="H606">
        <v>3000</v>
      </c>
      <c r="I606">
        <f>(Table1_1[[#This Row],[Total sales]]*Table1_1[[#This Row],[Commission]])+Table1_1[[#This Row],[Total sales]]</f>
        <v>3090</v>
      </c>
    </row>
    <row r="607" spans="1:9" x14ac:dyDescent="0.3">
      <c r="A607" s="1">
        <v>43306</v>
      </c>
      <c r="B607" t="s">
        <v>10</v>
      </c>
      <c r="C607" t="s">
        <v>18</v>
      </c>
      <c r="D607">
        <v>13</v>
      </c>
      <c r="E607">
        <v>40</v>
      </c>
      <c r="F607">
        <v>0.06</v>
      </c>
      <c r="G607" t="s">
        <v>24</v>
      </c>
      <c r="H607">
        <v>520</v>
      </c>
      <c r="I607">
        <f>(Table1_1[[#This Row],[Total sales]]*Table1_1[[#This Row],[Commission]])+Table1_1[[#This Row],[Total sales]]</f>
        <v>551.20000000000005</v>
      </c>
    </row>
    <row r="608" spans="1:9" x14ac:dyDescent="0.3">
      <c r="A608" s="1">
        <v>43306</v>
      </c>
      <c r="B608" t="s">
        <v>20</v>
      </c>
      <c r="C608" t="s">
        <v>21</v>
      </c>
      <c r="D608">
        <v>3</v>
      </c>
      <c r="E608">
        <v>16</v>
      </c>
      <c r="F608">
        <v>0.06</v>
      </c>
      <c r="G608" t="s">
        <v>25</v>
      </c>
      <c r="H608">
        <v>48</v>
      </c>
      <c r="I608">
        <f>(Table1_1[[#This Row],[Total sales]]*Table1_1[[#This Row],[Commission]])+Table1_1[[#This Row],[Total sales]]</f>
        <v>50.88</v>
      </c>
    </row>
    <row r="609" spans="1:9" x14ac:dyDescent="0.3">
      <c r="A609" s="1">
        <v>43306</v>
      </c>
      <c r="B609" t="s">
        <v>20</v>
      </c>
      <c r="C609" t="s">
        <v>16</v>
      </c>
      <c r="D609">
        <v>11</v>
      </c>
      <c r="E609">
        <v>16</v>
      </c>
      <c r="F609">
        <v>0.04</v>
      </c>
      <c r="G609" t="s">
        <v>26</v>
      </c>
      <c r="H609">
        <v>176</v>
      </c>
      <c r="I609">
        <f>(Table1_1[[#This Row],[Total sales]]*Table1_1[[#This Row],[Commission]])+Table1_1[[#This Row],[Total sales]]</f>
        <v>183.04</v>
      </c>
    </row>
    <row r="610" spans="1:9" x14ac:dyDescent="0.3">
      <c r="A610" s="1">
        <v>43307</v>
      </c>
      <c r="B610" t="s">
        <v>10</v>
      </c>
      <c r="C610" t="s">
        <v>21</v>
      </c>
      <c r="D610">
        <v>16</v>
      </c>
      <c r="E610">
        <v>40</v>
      </c>
      <c r="F610">
        <v>0.09</v>
      </c>
      <c r="G610" t="s">
        <v>22</v>
      </c>
      <c r="H610">
        <v>640</v>
      </c>
      <c r="I610">
        <f>(Table1_1[[#This Row],[Total sales]]*Table1_1[[#This Row],[Commission]])+Table1_1[[#This Row],[Total sales]]</f>
        <v>697.6</v>
      </c>
    </row>
    <row r="611" spans="1:9" x14ac:dyDescent="0.3">
      <c r="A611" s="1">
        <v>43307</v>
      </c>
      <c r="B611" t="s">
        <v>10</v>
      </c>
      <c r="C611" t="s">
        <v>16</v>
      </c>
      <c r="D611">
        <v>4</v>
      </c>
      <c r="E611">
        <v>40</v>
      </c>
      <c r="F611">
        <v>0.06</v>
      </c>
      <c r="G611" t="s">
        <v>24</v>
      </c>
      <c r="H611">
        <v>160</v>
      </c>
      <c r="I611">
        <f>(Table1_1[[#This Row],[Total sales]]*Table1_1[[#This Row],[Commission]])+Table1_1[[#This Row],[Total sales]]</f>
        <v>169.6</v>
      </c>
    </row>
    <row r="612" spans="1:9" x14ac:dyDescent="0.3">
      <c r="A612" s="1">
        <v>43307</v>
      </c>
      <c r="B612" t="s">
        <v>10</v>
      </c>
      <c r="C612" t="s">
        <v>16</v>
      </c>
      <c r="D612">
        <v>20</v>
      </c>
      <c r="E612">
        <v>40</v>
      </c>
      <c r="F612">
        <v>0.01</v>
      </c>
      <c r="G612" t="s">
        <v>25</v>
      </c>
      <c r="H612">
        <v>800</v>
      </c>
      <c r="I612">
        <f>(Table1_1[[#This Row],[Total sales]]*Table1_1[[#This Row],[Commission]])+Table1_1[[#This Row],[Total sales]]</f>
        <v>808</v>
      </c>
    </row>
    <row r="613" spans="1:9" x14ac:dyDescent="0.3">
      <c r="A613" s="1">
        <v>43307</v>
      </c>
      <c r="B613" t="s">
        <v>10</v>
      </c>
      <c r="C613" t="s">
        <v>16</v>
      </c>
      <c r="D613">
        <v>4</v>
      </c>
      <c r="E613">
        <v>40</v>
      </c>
      <c r="F613">
        <v>0.1</v>
      </c>
      <c r="G613" t="s">
        <v>26</v>
      </c>
      <c r="H613">
        <v>160</v>
      </c>
      <c r="I613">
        <f>(Table1_1[[#This Row],[Total sales]]*Table1_1[[#This Row],[Commission]])+Table1_1[[#This Row],[Total sales]]</f>
        <v>176</v>
      </c>
    </row>
    <row r="614" spans="1:9" x14ac:dyDescent="0.3">
      <c r="A614" s="1">
        <v>43307</v>
      </c>
      <c r="B614" t="s">
        <v>7</v>
      </c>
      <c r="C614" t="s">
        <v>11</v>
      </c>
      <c r="D614">
        <v>14</v>
      </c>
      <c r="E614">
        <v>80</v>
      </c>
      <c r="F614">
        <v>0.06</v>
      </c>
      <c r="G614" t="s">
        <v>22</v>
      </c>
      <c r="H614">
        <v>1120</v>
      </c>
      <c r="I614">
        <f>(Table1_1[[#This Row],[Total sales]]*Table1_1[[#This Row],[Commission]])+Table1_1[[#This Row],[Total sales]]</f>
        <v>1187.2</v>
      </c>
    </row>
    <row r="615" spans="1:9" x14ac:dyDescent="0.3">
      <c r="A615" s="1">
        <v>43307</v>
      </c>
      <c r="B615" t="s">
        <v>23</v>
      </c>
      <c r="C615" t="s">
        <v>11</v>
      </c>
      <c r="D615">
        <v>15</v>
      </c>
      <c r="E615">
        <v>150</v>
      </c>
      <c r="F615">
        <v>0.02</v>
      </c>
      <c r="G615" t="s">
        <v>24</v>
      </c>
      <c r="H615">
        <v>2250</v>
      </c>
      <c r="I615">
        <f>(Table1_1[[#This Row],[Total sales]]*Table1_1[[#This Row],[Commission]])+Table1_1[[#This Row],[Total sales]]</f>
        <v>2295</v>
      </c>
    </row>
    <row r="616" spans="1:9" x14ac:dyDescent="0.3">
      <c r="A616" s="1">
        <v>43307</v>
      </c>
      <c r="B616" t="s">
        <v>7</v>
      </c>
      <c r="C616" t="s">
        <v>16</v>
      </c>
      <c r="D616">
        <v>14</v>
      </c>
      <c r="E616">
        <v>80</v>
      </c>
      <c r="F616">
        <v>0.1</v>
      </c>
      <c r="G616" t="s">
        <v>25</v>
      </c>
      <c r="H616">
        <v>1120</v>
      </c>
      <c r="I616">
        <f>(Table1_1[[#This Row],[Total sales]]*Table1_1[[#This Row],[Commission]])+Table1_1[[#This Row],[Total sales]]</f>
        <v>1232</v>
      </c>
    </row>
    <row r="617" spans="1:9" x14ac:dyDescent="0.3">
      <c r="A617" s="1">
        <v>43307</v>
      </c>
      <c r="B617" t="s">
        <v>23</v>
      </c>
      <c r="C617" t="s">
        <v>8</v>
      </c>
      <c r="D617">
        <v>20</v>
      </c>
      <c r="E617">
        <v>150</v>
      </c>
      <c r="F617">
        <v>0.04</v>
      </c>
      <c r="G617" t="s">
        <v>26</v>
      </c>
      <c r="H617">
        <v>3000</v>
      </c>
      <c r="I617">
        <f>(Table1_1[[#This Row],[Total sales]]*Table1_1[[#This Row],[Commission]])+Table1_1[[#This Row],[Total sales]]</f>
        <v>3120</v>
      </c>
    </row>
    <row r="618" spans="1:9" x14ac:dyDescent="0.3">
      <c r="A618" s="1">
        <v>43307</v>
      </c>
      <c r="B618" t="s">
        <v>7</v>
      </c>
      <c r="C618" t="s">
        <v>21</v>
      </c>
      <c r="D618">
        <v>22</v>
      </c>
      <c r="E618">
        <v>80</v>
      </c>
      <c r="F618">
        <v>0.1</v>
      </c>
      <c r="G618" t="s">
        <v>22</v>
      </c>
      <c r="H618">
        <v>1760</v>
      </c>
      <c r="I618">
        <f>(Table1_1[[#This Row],[Total sales]]*Table1_1[[#This Row],[Commission]])+Table1_1[[#This Row],[Total sales]]</f>
        <v>1936</v>
      </c>
    </row>
    <row r="619" spans="1:9" x14ac:dyDescent="0.3">
      <c r="A619" s="1">
        <v>43307</v>
      </c>
      <c r="B619" t="s">
        <v>13</v>
      </c>
      <c r="C619" t="s">
        <v>21</v>
      </c>
      <c r="D619">
        <v>20</v>
      </c>
      <c r="E619">
        <v>230</v>
      </c>
      <c r="F619">
        <v>0.09</v>
      </c>
      <c r="G619" t="s">
        <v>24</v>
      </c>
      <c r="H619">
        <v>4600</v>
      </c>
      <c r="I619">
        <f>(Table1_1[[#This Row],[Total sales]]*Table1_1[[#This Row],[Commission]])+Table1_1[[#This Row],[Total sales]]</f>
        <v>5014</v>
      </c>
    </row>
    <row r="620" spans="1:9" x14ac:dyDescent="0.3">
      <c r="A620" s="1">
        <v>43307</v>
      </c>
      <c r="B620" t="s">
        <v>13</v>
      </c>
      <c r="C620" t="s">
        <v>16</v>
      </c>
      <c r="D620">
        <v>12</v>
      </c>
      <c r="E620">
        <v>230</v>
      </c>
      <c r="F620">
        <v>0.03</v>
      </c>
      <c r="G620" t="s">
        <v>25</v>
      </c>
      <c r="H620">
        <v>2760</v>
      </c>
      <c r="I620">
        <f>(Table1_1[[#This Row],[Total sales]]*Table1_1[[#This Row],[Commission]])+Table1_1[[#This Row],[Total sales]]</f>
        <v>2842.8</v>
      </c>
    </row>
    <row r="621" spans="1:9" x14ac:dyDescent="0.3">
      <c r="A621" s="1">
        <v>43308</v>
      </c>
      <c r="B621" t="s">
        <v>7</v>
      </c>
      <c r="C621" t="s">
        <v>8</v>
      </c>
      <c r="D621">
        <v>21</v>
      </c>
      <c r="E621">
        <v>80</v>
      </c>
      <c r="F621">
        <v>0.04</v>
      </c>
      <c r="G621" t="s">
        <v>26</v>
      </c>
      <c r="H621">
        <v>1680</v>
      </c>
      <c r="I621">
        <f>(Table1_1[[#This Row],[Total sales]]*Table1_1[[#This Row],[Commission]])+Table1_1[[#This Row],[Total sales]]</f>
        <v>1747.2</v>
      </c>
    </row>
    <row r="622" spans="1:9" x14ac:dyDescent="0.3">
      <c r="A622" s="1">
        <v>43308</v>
      </c>
      <c r="B622" t="s">
        <v>10</v>
      </c>
      <c r="C622" t="s">
        <v>11</v>
      </c>
      <c r="D622">
        <v>15</v>
      </c>
      <c r="E622">
        <v>40</v>
      </c>
      <c r="F622">
        <v>0.04</v>
      </c>
      <c r="G622" t="s">
        <v>22</v>
      </c>
      <c r="H622">
        <v>600</v>
      </c>
      <c r="I622">
        <f>(Table1_1[[#This Row],[Total sales]]*Table1_1[[#This Row],[Commission]])+Table1_1[[#This Row],[Total sales]]</f>
        <v>624</v>
      </c>
    </row>
    <row r="623" spans="1:9" x14ac:dyDescent="0.3">
      <c r="A623" s="1">
        <v>43308</v>
      </c>
      <c r="B623" t="s">
        <v>7</v>
      </c>
      <c r="C623" t="s">
        <v>18</v>
      </c>
      <c r="D623">
        <v>16</v>
      </c>
      <c r="E623">
        <v>80</v>
      </c>
      <c r="F623">
        <v>0.1</v>
      </c>
      <c r="G623" t="s">
        <v>24</v>
      </c>
      <c r="H623">
        <v>1280</v>
      </c>
      <c r="I623">
        <f>(Table1_1[[#This Row],[Total sales]]*Table1_1[[#This Row],[Commission]])+Table1_1[[#This Row],[Total sales]]</f>
        <v>1408</v>
      </c>
    </row>
    <row r="624" spans="1:9" x14ac:dyDescent="0.3">
      <c r="A624" s="1">
        <v>43308</v>
      </c>
      <c r="B624" t="s">
        <v>13</v>
      </c>
      <c r="C624" t="s">
        <v>21</v>
      </c>
      <c r="D624">
        <v>17</v>
      </c>
      <c r="E624">
        <v>230</v>
      </c>
      <c r="F624">
        <v>0.11</v>
      </c>
      <c r="G624" t="s">
        <v>25</v>
      </c>
      <c r="H624">
        <v>3910</v>
      </c>
      <c r="I624">
        <f>(Table1_1[[#This Row],[Total sales]]*Table1_1[[#This Row],[Commission]])+Table1_1[[#This Row],[Total sales]]</f>
        <v>4340.1000000000004</v>
      </c>
    </row>
    <row r="625" spans="1:9" x14ac:dyDescent="0.3">
      <c r="A625" s="1">
        <v>43308</v>
      </c>
      <c r="B625" t="s">
        <v>13</v>
      </c>
      <c r="C625" t="s">
        <v>21</v>
      </c>
      <c r="D625">
        <v>5</v>
      </c>
      <c r="E625">
        <v>230</v>
      </c>
      <c r="F625">
        <v>0.12</v>
      </c>
      <c r="G625" t="s">
        <v>26</v>
      </c>
      <c r="H625">
        <v>1150</v>
      </c>
      <c r="I625">
        <f>(Table1_1[[#This Row],[Total sales]]*Table1_1[[#This Row],[Commission]])+Table1_1[[#This Row],[Total sales]]</f>
        <v>1288</v>
      </c>
    </row>
    <row r="626" spans="1:9" x14ac:dyDescent="0.3">
      <c r="A626" s="1">
        <v>43308</v>
      </c>
      <c r="B626" t="s">
        <v>20</v>
      </c>
      <c r="C626" t="s">
        <v>8</v>
      </c>
      <c r="D626">
        <v>20</v>
      </c>
      <c r="E626">
        <v>16</v>
      </c>
      <c r="F626">
        <v>0.01</v>
      </c>
      <c r="G626" t="s">
        <v>22</v>
      </c>
      <c r="H626">
        <v>320</v>
      </c>
      <c r="I626">
        <f>(Table1_1[[#This Row],[Total sales]]*Table1_1[[#This Row],[Commission]])+Table1_1[[#This Row],[Total sales]]</f>
        <v>323.2</v>
      </c>
    </row>
    <row r="627" spans="1:9" x14ac:dyDescent="0.3">
      <c r="A627" s="1">
        <v>43308</v>
      </c>
      <c r="B627" t="s">
        <v>13</v>
      </c>
      <c r="C627" t="s">
        <v>8</v>
      </c>
      <c r="D627">
        <v>5</v>
      </c>
      <c r="E627">
        <v>230</v>
      </c>
      <c r="F627">
        <v>0.1</v>
      </c>
      <c r="G627" t="s">
        <v>24</v>
      </c>
      <c r="H627">
        <v>1150</v>
      </c>
      <c r="I627">
        <f>(Table1_1[[#This Row],[Total sales]]*Table1_1[[#This Row],[Commission]])+Table1_1[[#This Row],[Total sales]]</f>
        <v>1265</v>
      </c>
    </row>
    <row r="628" spans="1:9" x14ac:dyDescent="0.3">
      <c r="A628" s="1">
        <v>43308</v>
      </c>
      <c r="B628" t="s">
        <v>10</v>
      </c>
      <c r="C628" t="s">
        <v>11</v>
      </c>
      <c r="D628">
        <v>8</v>
      </c>
      <c r="E628">
        <v>40</v>
      </c>
      <c r="F628">
        <v>0.09</v>
      </c>
      <c r="G628" t="s">
        <v>25</v>
      </c>
      <c r="H628">
        <v>320</v>
      </c>
      <c r="I628">
        <f>(Table1_1[[#This Row],[Total sales]]*Table1_1[[#This Row],[Commission]])+Table1_1[[#This Row],[Total sales]]</f>
        <v>348.8</v>
      </c>
    </row>
    <row r="629" spans="1:9" x14ac:dyDescent="0.3">
      <c r="A629" s="1">
        <v>43308</v>
      </c>
      <c r="B629" t="s">
        <v>20</v>
      </c>
      <c r="C629" t="s">
        <v>8</v>
      </c>
      <c r="D629">
        <v>7</v>
      </c>
      <c r="E629">
        <v>16</v>
      </c>
      <c r="F629">
        <v>0.02</v>
      </c>
      <c r="G629" t="s">
        <v>26</v>
      </c>
      <c r="H629">
        <v>112</v>
      </c>
      <c r="I629">
        <f>(Table1_1[[#This Row],[Total sales]]*Table1_1[[#This Row],[Commission]])+Table1_1[[#This Row],[Total sales]]</f>
        <v>114.24</v>
      </c>
    </row>
    <row r="630" spans="1:9" x14ac:dyDescent="0.3">
      <c r="A630" s="1">
        <v>43308</v>
      </c>
      <c r="B630" t="s">
        <v>23</v>
      </c>
      <c r="C630" t="s">
        <v>18</v>
      </c>
      <c r="D630">
        <v>15</v>
      </c>
      <c r="E630">
        <v>150</v>
      </c>
      <c r="F630">
        <v>0.08</v>
      </c>
      <c r="G630" t="s">
        <v>22</v>
      </c>
      <c r="H630">
        <v>2250</v>
      </c>
      <c r="I630">
        <f>(Table1_1[[#This Row],[Total sales]]*Table1_1[[#This Row],[Commission]])+Table1_1[[#This Row],[Total sales]]</f>
        <v>2430</v>
      </c>
    </row>
    <row r="631" spans="1:9" x14ac:dyDescent="0.3">
      <c r="A631" s="1">
        <v>43308</v>
      </c>
      <c r="B631" t="s">
        <v>13</v>
      </c>
      <c r="C631" t="s">
        <v>21</v>
      </c>
      <c r="D631">
        <v>20</v>
      </c>
      <c r="E631">
        <v>230</v>
      </c>
      <c r="F631">
        <v>0.11</v>
      </c>
      <c r="G631" t="s">
        <v>24</v>
      </c>
      <c r="H631">
        <v>4600</v>
      </c>
      <c r="I631">
        <f>(Table1_1[[#This Row],[Total sales]]*Table1_1[[#This Row],[Commission]])+Table1_1[[#This Row],[Total sales]]</f>
        <v>5106</v>
      </c>
    </row>
    <row r="632" spans="1:9" x14ac:dyDescent="0.3">
      <c r="A632" s="1">
        <v>43308</v>
      </c>
      <c r="B632" t="s">
        <v>20</v>
      </c>
      <c r="C632" t="s">
        <v>11</v>
      </c>
      <c r="D632">
        <v>4</v>
      </c>
      <c r="E632">
        <v>16</v>
      </c>
      <c r="F632">
        <v>0.09</v>
      </c>
      <c r="G632" t="s">
        <v>25</v>
      </c>
      <c r="H632">
        <v>64</v>
      </c>
      <c r="I632">
        <f>(Table1_1[[#This Row],[Total sales]]*Table1_1[[#This Row],[Commission]])+Table1_1[[#This Row],[Total sales]]</f>
        <v>69.760000000000005</v>
      </c>
    </row>
    <row r="633" spans="1:9" x14ac:dyDescent="0.3">
      <c r="A633" s="1">
        <v>43308</v>
      </c>
      <c r="B633" t="s">
        <v>10</v>
      </c>
      <c r="C633" t="s">
        <v>18</v>
      </c>
      <c r="D633">
        <v>11</v>
      </c>
      <c r="E633">
        <v>40</v>
      </c>
      <c r="F633">
        <v>0.09</v>
      </c>
      <c r="G633" t="s">
        <v>26</v>
      </c>
      <c r="H633">
        <v>440</v>
      </c>
      <c r="I633">
        <f>(Table1_1[[#This Row],[Total sales]]*Table1_1[[#This Row],[Commission]])+Table1_1[[#This Row],[Total sales]]</f>
        <v>479.6</v>
      </c>
    </row>
    <row r="634" spans="1:9" x14ac:dyDescent="0.3">
      <c r="A634" s="1">
        <v>43308</v>
      </c>
      <c r="B634" t="s">
        <v>23</v>
      </c>
      <c r="C634" t="s">
        <v>16</v>
      </c>
      <c r="D634">
        <v>15</v>
      </c>
      <c r="E634">
        <v>150</v>
      </c>
      <c r="F634">
        <v>0.05</v>
      </c>
      <c r="G634" t="s">
        <v>22</v>
      </c>
      <c r="H634">
        <v>2250</v>
      </c>
      <c r="I634">
        <f>(Table1_1[[#This Row],[Total sales]]*Table1_1[[#This Row],[Commission]])+Table1_1[[#This Row],[Total sales]]</f>
        <v>2362.5</v>
      </c>
    </row>
    <row r="635" spans="1:9" x14ac:dyDescent="0.3">
      <c r="A635" s="1">
        <v>43308</v>
      </c>
      <c r="B635" t="s">
        <v>13</v>
      </c>
      <c r="C635" t="s">
        <v>16</v>
      </c>
      <c r="D635">
        <v>5</v>
      </c>
      <c r="E635">
        <v>230</v>
      </c>
      <c r="F635">
        <v>0.01</v>
      </c>
      <c r="G635" t="s">
        <v>24</v>
      </c>
      <c r="H635">
        <v>1150</v>
      </c>
      <c r="I635">
        <f>(Table1_1[[#This Row],[Total sales]]*Table1_1[[#This Row],[Commission]])+Table1_1[[#This Row],[Total sales]]</f>
        <v>1161.5</v>
      </c>
    </row>
    <row r="636" spans="1:9" x14ac:dyDescent="0.3">
      <c r="A636" s="1">
        <v>43308</v>
      </c>
      <c r="B636" t="s">
        <v>13</v>
      </c>
      <c r="C636" t="s">
        <v>16</v>
      </c>
      <c r="D636">
        <v>14</v>
      </c>
      <c r="E636">
        <v>230</v>
      </c>
      <c r="F636">
        <v>0.03</v>
      </c>
      <c r="G636" t="s">
        <v>25</v>
      </c>
      <c r="H636">
        <v>3220</v>
      </c>
      <c r="I636">
        <f>(Table1_1[[#This Row],[Total sales]]*Table1_1[[#This Row],[Commission]])+Table1_1[[#This Row],[Total sales]]</f>
        <v>3316.6</v>
      </c>
    </row>
    <row r="637" spans="1:9" x14ac:dyDescent="0.3">
      <c r="A637" s="1">
        <v>43308</v>
      </c>
      <c r="B637" t="s">
        <v>10</v>
      </c>
      <c r="C637" t="s">
        <v>21</v>
      </c>
      <c r="D637">
        <v>23</v>
      </c>
      <c r="E637">
        <v>40</v>
      </c>
      <c r="F637">
        <v>0.05</v>
      </c>
      <c r="G637" t="s">
        <v>26</v>
      </c>
      <c r="H637">
        <v>920</v>
      </c>
      <c r="I637">
        <f>(Table1_1[[#This Row],[Total sales]]*Table1_1[[#This Row],[Commission]])+Table1_1[[#This Row],[Total sales]]</f>
        <v>966</v>
      </c>
    </row>
    <row r="638" spans="1:9" x14ac:dyDescent="0.3">
      <c r="A638" s="1">
        <v>43308</v>
      </c>
      <c r="B638" t="s">
        <v>7</v>
      </c>
      <c r="C638" t="s">
        <v>18</v>
      </c>
      <c r="D638">
        <v>22</v>
      </c>
      <c r="E638">
        <v>80</v>
      </c>
      <c r="F638">
        <v>0.03</v>
      </c>
      <c r="G638" t="s">
        <v>22</v>
      </c>
      <c r="H638">
        <v>1760</v>
      </c>
      <c r="I638">
        <f>(Table1_1[[#This Row],[Total sales]]*Table1_1[[#This Row],[Commission]])+Table1_1[[#This Row],[Total sales]]</f>
        <v>1812.8</v>
      </c>
    </row>
    <row r="639" spans="1:9" x14ac:dyDescent="0.3">
      <c r="A639" s="1">
        <v>43309</v>
      </c>
      <c r="B639" t="s">
        <v>13</v>
      </c>
      <c r="C639" t="s">
        <v>16</v>
      </c>
      <c r="D639">
        <v>20</v>
      </c>
      <c r="E639">
        <v>230</v>
      </c>
      <c r="F639">
        <v>0.06</v>
      </c>
      <c r="G639" t="s">
        <v>24</v>
      </c>
      <c r="H639">
        <v>4600</v>
      </c>
      <c r="I639">
        <f>(Table1_1[[#This Row],[Total sales]]*Table1_1[[#This Row],[Commission]])+Table1_1[[#This Row],[Total sales]]</f>
        <v>4876</v>
      </c>
    </row>
    <row r="640" spans="1:9" x14ac:dyDescent="0.3">
      <c r="A640" s="1">
        <v>43309</v>
      </c>
      <c r="B640" t="s">
        <v>13</v>
      </c>
      <c r="C640" t="s">
        <v>11</v>
      </c>
      <c r="D640">
        <v>15</v>
      </c>
      <c r="E640">
        <v>230</v>
      </c>
      <c r="F640">
        <v>0.09</v>
      </c>
      <c r="G640" t="s">
        <v>25</v>
      </c>
      <c r="H640">
        <v>3450</v>
      </c>
      <c r="I640">
        <f>(Table1_1[[#This Row],[Total sales]]*Table1_1[[#This Row],[Commission]])+Table1_1[[#This Row],[Total sales]]</f>
        <v>3760.5</v>
      </c>
    </row>
    <row r="641" spans="1:9" x14ac:dyDescent="0.3">
      <c r="A641" s="1">
        <v>43309</v>
      </c>
      <c r="B641" t="s">
        <v>23</v>
      </c>
      <c r="C641" t="s">
        <v>16</v>
      </c>
      <c r="D641">
        <v>18</v>
      </c>
      <c r="E641">
        <v>150</v>
      </c>
      <c r="F641">
        <v>0.06</v>
      </c>
      <c r="G641" t="s">
        <v>26</v>
      </c>
      <c r="H641">
        <v>2700</v>
      </c>
      <c r="I641">
        <f>(Table1_1[[#This Row],[Total sales]]*Table1_1[[#This Row],[Commission]])+Table1_1[[#This Row],[Total sales]]</f>
        <v>2862</v>
      </c>
    </row>
    <row r="642" spans="1:9" x14ac:dyDescent="0.3">
      <c r="A642" s="1">
        <v>43309</v>
      </c>
      <c r="B642" t="s">
        <v>13</v>
      </c>
      <c r="C642" t="s">
        <v>8</v>
      </c>
      <c r="D642">
        <v>3</v>
      </c>
      <c r="E642">
        <v>230</v>
      </c>
      <c r="F642">
        <v>0.11</v>
      </c>
      <c r="G642" t="s">
        <v>22</v>
      </c>
      <c r="H642">
        <v>690</v>
      </c>
      <c r="I642">
        <f>(Table1_1[[#This Row],[Total sales]]*Table1_1[[#This Row],[Commission]])+Table1_1[[#This Row],[Total sales]]</f>
        <v>765.9</v>
      </c>
    </row>
    <row r="643" spans="1:9" x14ac:dyDescent="0.3">
      <c r="A643" s="1">
        <v>43309</v>
      </c>
      <c r="B643" t="s">
        <v>23</v>
      </c>
      <c r="C643" t="s">
        <v>21</v>
      </c>
      <c r="D643">
        <v>11</v>
      </c>
      <c r="E643">
        <v>150</v>
      </c>
      <c r="F643">
        <v>0.09</v>
      </c>
      <c r="G643" t="s">
        <v>24</v>
      </c>
      <c r="H643">
        <v>1650</v>
      </c>
      <c r="I643">
        <f>(Table1_1[[#This Row],[Total sales]]*Table1_1[[#This Row],[Commission]])+Table1_1[[#This Row],[Total sales]]</f>
        <v>1798.5</v>
      </c>
    </row>
    <row r="644" spans="1:9" x14ac:dyDescent="0.3">
      <c r="A644" s="1">
        <v>43309</v>
      </c>
      <c r="B644" t="s">
        <v>13</v>
      </c>
      <c r="C644" t="s">
        <v>8</v>
      </c>
      <c r="D644">
        <v>11</v>
      </c>
      <c r="E644">
        <v>230</v>
      </c>
      <c r="F644">
        <v>0.02</v>
      </c>
      <c r="G644" t="s">
        <v>25</v>
      </c>
      <c r="H644">
        <v>2530</v>
      </c>
      <c r="I644">
        <f>(Table1_1[[#This Row],[Total sales]]*Table1_1[[#This Row],[Commission]])+Table1_1[[#This Row],[Total sales]]</f>
        <v>2580.6</v>
      </c>
    </row>
    <row r="645" spans="1:9" x14ac:dyDescent="0.3">
      <c r="A645" s="1">
        <v>43309</v>
      </c>
      <c r="B645" t="s">
        <v>13</v>
      </c>
      <c r="C645" t="s">
        <v>21</v>
      </c>
      <c r="D645">
        <v>13</v>
      </c>
      <c r="E645">
        <v>230</v>
      </c>
      <c r="F645">
        <v>0.06</v>
      </c>
      <c r="G645" t="s">
        <v>26</v>
      </c>
      <c r="H645">
        <v>2990</v>
      </c>
      <c r="I645">
        <f>(Table1_1[[#This Row],[Total sales]]*Table1_1[[#This Row],[Commission]])+Table1_1[[#This Row],[Total sales]]</f>
        <v>3169.4</v>
      </c>
    </row>
    <row r="646" spans="1:9" x14ac:dyDescent="0.3">
      <c r="A646" s="1">
        <v>43310</v>
      </c>
      <c r="B646" t="s">
        <v>7</v>
      </c>
      <c r="C646" t="s">
        <v>18</v>
      </c>
      <c r="D646">
        <v>11</v>
      </c>
      <c r="E646">
        <v>80</v>
      </c>
      <c r="F646">
        <v>0.01</v>
      </c>
      <c r="G646" t="s">
        <v>22</v>
      </c>
      <c r="H646">
        <v>880</v>
      </c>
      <c r="I646">
        <f>(Table1_1[[#This Row],[Total sales]]*Table1_1[[#This Row],[Commission]])+Table1_1[[#This Row],[Total sales]]</f>
        <v>888.8</v>
      </c>
    </row>
    <row r="647" spans="1:9" x14ac:dyDescent="0.3">
      <c r="A647" s="1">
        <v>43310</v>
      </c>
      <c r="B647" t="s">
        <v>7</v>
      </c>
      <c r="C647" t="s">
        <v>21</v>
      </c>
      <c r="D647">
        <v>17</v>
      </c>
      <c r="E647">
        <v>80</v>
      </c>
      <c r="F647">
        <v>7.0000000000000007E-2</v>
      </c>
      <c r="G647" t="s">
        <v>24</v>
      </c>
      <c r="H647">
        <v>1360</v>
      </c>
      <c r="I647">
        <f>(Table1_1[[#This Row],[Total sales]]*Table1_1[[#This Row],[Commission]])+Table1_1[[#This Row],[Total sales]]</f>
        <v>1455.2</v>
      </c>
    </row>
    <row r="648" spans="1:9" x14ac:dyDescent="0.3">
      <c r="A648" s="1">
        <v>43310</v>
      </c>
      <c r="B648" t="s">
        <v>23</v>
      </c>
      <c r="C648" t="s">
        <v>21</v>
      </c>
      <c r="D648">
        <v>15</v>
      </c>
      <c r="E648">
        <v>150</v>
      </c>
      <c r="F648">
        <v>7.0000000000000007E-2</v>
      </c>
      <c r="G648" t="s">
        <v>25</v>
      </c>
      <c r="H648">
        <v>2250</v>
      </c>
      <c r="I648">
        <f>(Table1_1[[#This Row],[Total sales]]*Table1_1[[#This Row],[Commission]])+Table1_1[[#This Row],[Total sales]]</f>
        <v>2407.5</v>
      </c>
    </row>
    <row r="649" spans="1:9" x14ac:dyDescent="0.3">
      <c r="A649" s="1">
        <v>43310</v>
      </c>
      <c r="B649" t="s">
        <v>20</v>
      </c>
      <c r="C649" t="s">
        <v>21</v>
      </c>
      <c r="D649">
        <v>14</v>
      </c>
      <c r="E649">
        <v>16</v>
      </c>
      <c r="F649">
        <v>0.06</v>
      </c>
      <c r="G649" t="s">
        <v>26</v>
      </c>
      <c r="H649">
        <v>224</v>
      </c>
      <c r="I649">
        <f>(Table1_1[[#This Row],[Total sales]]*Table1_1[[#This Row],[Commission]])+Table1_1[[#This Row],[Total sales]]</f>
        <v>237.44</v>
      </c>
    </row>
    <row r="650" spans="1:9" x14ac:dyDescent="0.3">
      <c r="A650" s="1">
        <v>43310</v>
      </c>
      <c r="B650" t="s">
        <v>20</v>
      </c>
      <c r="C650" t="s">
        <v>11</v>
      </c>
      <c r="D650">
        <v>4</v>
      </c>
      <c r="E650">
        <v>16</v>
      </c>
      <c r="F650">
        <v>7.0000000000000007E-2</v>
      </c>
      <c r="G650" t="s">
        <v>22</v>
      </c>
      <c r="H650">
        <v>64</v>
      </c>
      <c r="I650">
        <f>(Table1_1[[#This Row],[Total sales]]*Table1_1[[#This Row],[Commission]])+Table1_1[[#This Row],[Total sales]]</f>
        <v>68.48</v>
      </c>
    </row>
    <row r="651" spans="1:9" x14ac:dyDescent="0.3">
      <c r="A651" s="1">
        <v>43310</v>
      </c>
      <c r="B651" t="s">
        <v>23</v>
      </c>
      <c r="C651" t="s">
        <v>21</v>
      </c>
      <c r="D651">
        <v>23</v>
      </c>
      <c r="E651">
        <v>150</v>
      </c>
      <c r="F651">
        <v>0.08</v>
      </c>
      <c r="G651" t="s">
        <v>24</v>
      </c>
      <c r="H651">
        <v>3450</v>
      </c>
      <c r="I651">
        <f>(Table1_1[[#This Row],[Total sales]]*Table1_1[[#This Row],[Commission]])+Table1_1[[#This Row],[Total sales]]</f>
        <v>3726</v>
      </c>
    </row>
    <row r="652" spans="1:9" x14ac:dyDescent="0.3">
      <c r="A652" s="1">
        <v>43310</v>
      </c>
      <c r="B652" t="s">
        <v>7</v>
      </c>
      <c r="C652" t="s">
        <v>16</v>
      </c>
      <c r="D652">
        <v>10</v>
      </c>
      <c r="E652">
        <v>80</v>
      </c>
      <c r="F652">
        <v>0.11</v>
      </c>
      <c r="G652" t="s">
        <v>25</v>
      </c>
      <c r="H652">
        <v>800</v>
      </c>
      <c r="I652">
        <f>(Table1_1[[#This Row],[Total sales]]*Table1_1[[#This Row],[Commission]])+Table1_1[[#This Row],[Total sales]]</f>
        <v>888</v>
      </c>
    </row>
    <row r="653" spans="1:9" x14ac:dyDescent="0.3">
      <c r="A653" s="1">
        <v>43310</v>
      </c>
      <c r="B653" t="s">
        <v>13</v>
      </c>
      <c r="C653" t="s">
        <v>16</v>
      </c>
      <c r="D653">
        <v>7</v>
      </c>
      <c r="E653">
        <v>230</v>
      </c>
      <c r="F653">
        <v>0.01</v>
      </c>
      <c r="G653" t="s">
        <v>26</v>
      </c>
      <c r="H653">
        <v>1610</v>
      </c>
      <c r="I653">
        <f>(Table1_1[[#This Row],[Total sales]]*Table1_1[[#This Row],[Commission]])+Table1_1[[#This Row],[Total sales]]</f>
        <v>1626.1</v>
      </c>
    </row>
    <row r="654" spans="1:9" x14ac:dyDescent="0.3">
      <c r="A654" s="1">
        <v>43310</v>
      </c>
      <c r="B654" t="s">
        <v>13</v>
      </c>
      <c r="C654" t="s">
        <v>8</v>
      </c>
      <c r="D654">
        <v>16</v>
      </c>
      <c r="E654">
        <v>230</v>
      </c>
      <c r="F654">
        <v>7.0000000000000007E-2</v>
      </c>
      <c r="G654" t="s">
        <v>22</v>
      </c>
      <c r="H654">
        <v>3680</v>
      </c>
      <c r="I654">
        <f>(Table1_1[[#This Row],[Total sales]]*Table1_1[[#This Row],[Commission]])+Table1_1[[#This Row],[Total sales]]</f>
        <v>3937.6</v>
      </c>
    </row>
    <row r="655" spans="1:9" x14ac:dyDescent="0.3">
      <c r="A655" s="1">
        <v>43310</v>
      </c>
      <c r="B655" t="s">
        <v>20</v>
      </c>
      <c r="C655" t="s">
        <v>21</v>
      </c>
      <c r="D655">
        <v>17</v>
      </c>
      <c r="E655">
        <v>16</v>
      </c>
      <c r="F655">
        <v>0.08</v>
      </c>
      <c r="G655" t="s">
        <v>24</v>
      </c>
      <c r="H655">
        <v>272</v>
      </c>
      <c r="I655">
        <f>(Table1_1[[#This Row],[Total sales]]*Table1_1[[#This Row],[Commission]])+Table1_1[[#This Row],[Total sales]]</f>
        <v>293.76</v>
      </c>
    </row>
    <row r="656" spans="1:9" x14ac:dyDescent="0.3">
      <c r="A656" s="1">
        <v>43311</v>
      </c>
      <c r="B656" t="s">
        <v>7</v>
      </c>
      <c r="C656" t="s">
        <v>21</v>
      </c>
      <c r="D656">
        <v>6</v>
      </c>
      <c r="E656">
        <v>80</v>
      </c>
      <c r="F656">
        <v>0.09</v>
      </c>
      <c r="G656" t="s">
        <v>25</v>
      </c>
      <c r="H656">
        <v>480</v>
      </c>
      <c r="I656">
        <f>(Table1_1[[#This Row],[Total sales]]*Table1_1[[#This Row],[Commission]])+Table1_1[[#This Row],[Total sales]]</f>
        <v>523.20000000000005</v>
      </c>
    </row>
    <row r="657" spans="1:9" x14ac:dyDescent="0.3">
      <c r="A657" s="1">
        <v>43311</v>
      </c>
      <c r="B657" t="s">
        <v>23</v>
      </c>
      <c r="C657" t="s">
        <v>16</v>
      </c>
      <c r="D657">
        <v>22</v>
      </c>
      <c r="E657">
        <v>150</v>
      </c>
      <c r="F657">
        <v>0.04</v>
      </c>
      <c r="G657" t="s">
        <v>26</v>
      </c>
      <c r="H657">
        <v>3300</v>
      </c>
      <c r="I657">
        <f>(Table1_1[[#This Row],[Total sales]]*Table1_1[[#This Row],[Commission]])+Table1_1[[#This Row],[Total sales]]</f>
        <v>3432</v>
      </c>
    </row>
    <row r="658" spans="1:9" x14ac:dyDescent="0.3">
      <c r="A658" s="1">
        <v>43311</v>
      </c>
      <c r="B658" t="s">
        <v>10</v>
      </c>
      <c r="C658" t="s">
        <v>21</v>
      </c>
      <c r="D658">
        <v>20</v>
      </c>
      <c r="E658">
        <v>40</v>
      </c>
      <c r="F658">
        <v>0.03</v>
      </c>
      <c r="G658" t="s">
        <v>22</v>
      </c>
      <c r="H658">
        <v>800</v>
      </c>
      <c r="I658">
        <f>(Table1_1[[#This Row],[Total sales]]*Table1_1[[#This Row],[Commission]])+Table1_1[[#This Row],[Total sales]]</f>
        <v>824</v>
      </c>
    </row>
    <row r="659" spans="1:9" x14ac:dyDescent="0.3">
      <c r="A659" s="1">
        <v>43311</v>
      </c>
      <c r="B659" t="s">
        <v>23</v>
      </c>
      <c r="C659" t="s">
        <v>11</v>
      </c>
      <c r="D659">
        <v>16</v>
      </c>
      <c r="E659">
        <v>150</v>
      </c>
      <c r="F659">
        <v>0.08</v>
      </c>
      <c r="G659" t="s">
        <v>24</v>
      </c>
      <c r="H659">
        <v>2400</v>
      </c>
      <c r="I659">
        <f>(Table1_1[[#This Row],[Total sales]]*Table1_1[[#This Row],[Commission]])+Table1_1[[#This Row],[Total sales]]</f>
        <v>2592</v>
      </c>
    </row>
    <row r="660" spans="1:9" x14ac:dyDescent="0.3">
      <c r="A660" s="1">
        <v>43311</v>
      </c>
      <c r="B660" t="s">
        <v>7</v>
      </c>
      <c r="C660" t="s">
        <v>11</v>
      </c>
      <c r="D660">
        <v>5</v>
      </c>
      <c r="E660">
        <v>80</v>
      </c>
      <c r="F660">
        <v>7.0000000000000007E-2</v>
      </c>
      <c r="G660" t="s">
        <v>25</v>
      </c>
      <c r="H660">
        <v>400</v>
      </c>
      <c r="I660">
        <f>(Table1_1[[#This Row],[Total sales]]*Table1_1[[#This Row],[Commission]])+Table1_1[[#This Row],[Total sales]]</f>
        <v>428</v>
      </c>
    </row>
    <row r="661" spans="1:9" x14ac:dyDescent="0.3">
      <c r="A661" s="1">
        <v>43311</v>
      </c>
      <c r="B661" t="s">
        <v>23</v>
      </c>
      <c r="C661" t="s">
        <v>18</v>
      </c>
      <c r="D661">
        <v>6</v>
      </c>
      <c r="E661">
        <v>150</v>
      </c>
      <c r="F661">
        <v>0.03</v>
      </c>
      <c r="G661" t="s">
        <v>26</v>
      </c>
      <c r="H661">
        <v>900</v>
      </c>
      <c r="I661">
        <f>(Table1_1[[#This Row],[Total sales]]*Table1_1[[#This Row],[Commission]])+Table1_1[[#This Row],[Total sales]]</f>
        <v>927</v>
      </c>
    </row>
    <row r="662" spans="1:9" x14ac:dyDescent="0.3">
      <c r="A662" s="1">
        <v>43312</v>
      </c>
      <c r="B662" t="s">
        <v>7</v>
      </c>
      <c r="C662" t="s">
        <v>11</v>
      </c>
      <c r="D662">
        <v>9</v>
      </c>
      <c r="E662">
        <v>80</v>
      </c>
      <c r="F662">
        <v>0.03</v>
      </c>
      <c r="G662" t="s">
        <v>22</v>
      </c>
      <c r="H662">
        <v>720</v>
      </c>
      <c r="I662">
        <f>(Table1_1[[#This Row],[Total sales]]*Table1_1[[#This Row],[Commission]])+Table1_1[[#This Row],[Total sales]]</f>
        <v>741.6</v>
      </c>
    </row>
    <row r="663" spans="1:9" x14ac:dyDescent="0.3">
      <c r="A663" s="1">
        <v>43312</v>
      </c>
      <c r="B663" t="s">
        <v>7</v>
      </c>
      <c r="C663" t="s">
        <v>8</v>
      </c>
      <c r="D663">
        <v>8</v>
      </c>
      <c r="E663">
        <v>80</v>
      </c>
      <c r="F663">
        <v>0.08</v>
      </c>
      <c r="G663" t="s">
        <v>24</v>
      </c>
      <c r="H663">
        <v>640</v>
      </c>
      <c r="I663">
        <f>(Table1_1[[#This Row],[Total sales]]*Table1_1[[#This Row],[Commission]])+Table1_1[[#This Row],[Total sales]]</f>
        <v>691.2</v>
      </c>
    </row>
    <row r="664" spans="1:9" x14ac:dyDescent="0.3">
      <c r="A664" s="1">
        <v>43312</v>
      </c>
      <c r="B664" t="s">
        <v>13</v>
      </c>
      <c r="C664" t="s">
        <v>18</v>
      </c>
      <c r="D664">
        <v>8</v>
      </c>
      <c r="E664">
        <v>230</v>
      </c>
      <c r="F664">
        <v>0.01</v>
      </c>
      <c r="G664" t="s">
        <v>25</v>
      </c>
      <c r="H664">
        <v>1840</v>
      </c>
      <c r="I664">
        <f>(Table1_1[[#This Row],[Total sales]]*Table1_1[[#This Row],[Commission]])+Table1_1[[#This Row],[Total sales]]</f>
        <v>1858.4</v>
      </c>
    </row>
    <row r="665" spans="1:9" x14ac:dyDescent="0.3">
      <c r="A665" s="1">
        <v>43312</v>
      </c>
      <c r="B665" t="s">
        <v>20</v>
      </c>
      <c r="C665" t="s">
        <v>21</v>
      </c>
      <c r="D665">
        <v>12</v>
      </c>
      <c r="E665">
        <v>16</v>
      </c>
      <c r="F665">
        <v>0.04</v>
      </c>
      <c r="G665" t="s">
        <v>26</v>
      </c>
      <c r="H665">
        <v>192</v>
      </c>
      <c r="I665">
        <f>(Table1_1[[#This Row],[Total sales]]*Table1_1[[#This Row],[Commission]])+Table1_1[[#This Row],[Total sales]]</f>
        <v>199.68</v>
      </c>
    </row>
    <row r="666" spans="1:9" x14ac:dyDescent="0.3">
      <c r="A666" s="1">
        <v>43312</v>
      </c>
      <c r="B666" t="s">
        <v>20</v>
      </c>
      <c r="C666" t="s">
        <v>18</v>
      </c>
      <c r="D666">
        <v>18</v>
      </c>
      <c r="E666">
        <v>16</v>
      </c>
      <c r="F666">
        <v>0.04</v>
      </c>
      <c r="G666" t="s">
        <v>22</v>
      </c>
      <c r="H666">
        <v>288</v>
      </c>
      <c r="I666">
        <f>(Table1_1[[#This Row],[Total sales]]*Table1_1[[#This Row],[Commission]])+Table1_1[[#This Row],[Total sales]]</f>
        <v>299.52</v>
      </c>
    </row>
    <row r="667" spans="1:9" x14ac:dyDescent="0.3">
      <c r="A667" s="1">
        <v>43282</v>
      </c>
      <c r="B667" t="s">
        <v>20</v>
      </c>
      <c r="C667" t="s">
        <v>18</v>
      </c>
      <c r="D667">
        <v>10</v>
      </c>
      <c r="E667">
        <v>16</v>
      </c>
      <c r="F667">
        <v>0.01</v>
      </c>
      <c r="G667" t="s">
        <v>24</v>
      </c>
      <c r="H667">
        <v>160</v>
      </c>
      <c r="I667">
        <f>(Table1_1[[#This Row],[Total sales]]*Table1_1[[#This Row],[Commission]])+Table1_1[[#This Row],[Total sales]]</f>
        <v>161.6</v>
      </c>
    </row>
    <row r="668" spans="1:9" x14ac:dyDescent="0.3">
      <c r="A668" s="1">
        <v>43282</v>
      </c>
      <c r="B668" t="s">
        <v>20</v>
      </c>
      <c r="C668" t="s">
        <v>18</v>
      </c>
      <c r="D668">
        <v>14</v>
      </c>
      <c r="E668">
        <v>16</v>
      </c>
      <c r="F668">
        <v>0.12</v>
      </c>
      <c r="G668" t="s">
        <v>25</v>
      </c>
      <c r="H668">
        <v>224</v>
      </c>
      <c r="I668">
        <f>(Table1_1[[#This Row],[Total sales]]*Table1_1[[#This Row],[Commission]])+Table1_1[[#This Row],[Total sales]]</f>
        <v>250.88</v>
      </c>
    </row>
    <row r="669" spans="1:9" x14ac:dyDescent="0.3">
      <c r="A669" s="1">
        <v>43282</v>
      </c>
      <c r="B669" t="s">
        <v>10</v>
      </c>
      <c r="C669" t="s">
        <v>16</v>
      </c>
      <c r="D669">
        <v>6</v>
      </c>
      <c r="E669">
        <v>40</v>
      </c>
      <c r="F669">
        <v>0.06</v>
      </c>
      <c r="G669" t="s">
        <v>26</v>
      </c>
      <c r="H669">
        <v>240</v>
      </c>
      <c r="I669">
        <f>(Table1_1[[#This Row],[Total sales]]*Table1_1[[#This Row],[Commission]])+Table1_1[[#This Row],[Total sales]]</f>
        <v>254.4</v>
      </c>
    </row>
    <row r="670" spans="1:9" x14ac:dyDescent="0.3">
      <c r="A670" s="1">
        <v>43282</v>
      </c>
      <c r="B670" t="s">
        <v>10</v>
      </c>
      <c r="C670" t="s">
        <v>18</v>
      </c>
      <c r="D670">
        <v>13</v>
      </c>
      <c r="E670">
        <v>40</v>
      </c>
      <c r="F670">
        <v>0.09</v>
      </c>
      <c r="G670" t="s">
        <v>22</v>
      </c>
      <c r="H670">
        <v>520</v>
      </c>
      <c r="I670">
        <f>(Table1_1[[#This Row],[Total sales]]*Table1_1[[#This Row],[Commission]])+Table1_1[[#This Row],[Total sales]]</f>
        <v>566.79999999999995</v>
      </c>
    </row>
    <row r="671" spans="1:9" x14ac:dyDescent="0.3">
      <c r="A671" s="1">
        <v>43282</v>
      </c>
      <c r="B671" t="s">
        <v>20</v>
      </c>
      <c r="C671" t="s">
        <v>18</v>
      </c>
      <c r="D671">
        <v>10</v>
      </c>
      <c r="E671">
        <v>16</v>
      </c>
      <c r="F671">
        <v>0.04</v>
      </c>
      <c r="G671" t="s">
        <v>24</v>
      </c>
      <c r="H671">
        <v>160</v>
      </c>
      <c r="I671">
        <f>(Table1_1[[#This Row],[Total sales]]*Table1_1[[#This Row],[Commission]])+Table1_1[[#This Row],[Total sales]]</f>
        <v>166.4</v>
      </c>
    </row>
    <row r="672" spans="1:9" x14ac:dyDescent="0.3">
      <c r="A672" s="1">
        <v>43282</v>
      </c>
      <c r="B672" t="s">
        <v>7</v>
      </c>
      <c r="C672" t="s">
        <v>11</v>
      </c>
      <c r="D672">
        <v>14</v>
      </c>
      <c r="E672">
        <v>80</v>
      </c>
      <c r="F672">
        <v>0.11</v>
      </c>
      <c r="G672" t="s">
        <v>25</v>
      </c>
      <c r="H672">
        <v>1120</v>
      </c>
      <c r="I672">
        <f>(Table1_1[[#This Row],[Total sales]]*Table1_1[[#This Row],[Commission]])+Table1_1[[#This Row],[Total sales]]</f>
        <v>1243.2</v>
      </c>
    </row>
    <row r="673" spans="1:9" x14ac:dyDescent="0.3">
      <c r="A673" s="1">
        <v>43282</v>
      </c>
      <c r="B673" t="s">
        <v>10</v>
      </c>
      <c r="C673" t="s">
        <v>11</v>
      </c>
      <c r="D673">
        <v>4</v>
      </c>
      <c r="E673">
        <v>40</v>
      </c>
      <c r="F673">
        <v>0.06</v>
      </c>
      <c r="G673" t="s">
        <v>26</v>
      </c>
      <c r="H673">
        <v>160</v>
      </c>
      <c r="I673">
        <f>(Table1_1[[#This Row],[Total sales]]*Table1_1[[#This Row],[Commission]])+Table1_1[[#This Row],[Total sales]]</f>
        <v>169.6</v>
      </c>
    </row>
    <row r="674" spans="1:9" x14ac:dyDescent="0.3">
      <c r="A674" s="1">
        <v>43282</v>
      </c>
      <c r="B674" t="s">
        <v>10</v>
      </c>
      <c r="C674" t="s">
        <v>16</v>
      </c>
      <c r="D674">
        <v>11</v>
      </c>
      <c r="E674">
        <v>40</v>
      </c>
      <c r="F674">
        <v>0.05</v>
      </c>
      <c r="G674" t="s">
        <v>22</v>
      </c>
      <c r="H674">
        <v>440</v>
      </c>
      <c r="I674">
        <f>(Table1_1[[#This Row],[Total sales]]*Table1_1[[#This Row],[Commission]])+Table1_1[[#This Row],[Total sales]]</f>
        <v>462</v>
      </c>
    </row>
    <row r="675" spans="1:9" x14ac:dyDescent="0.3">
      <c r="A675" s="1">
        <v>43282</v>
      </c>
      <c r="B675" t="s">
        <v>20</v>
      </c>
      <c r="C675" t="s">
        <v>16</v>
      </c>
      <c r="D675">
        <v>14</v>
      </c>
      <c r="E675">
        <v>16</v>
      </c>
      <c r="F675">
        <v>0.01</v>
      </c>
      <c r="G675" t="s">
        <v>24</v>
      </c>
      <c r="H675">
        <v>224</v>
      </c>
      <c r="I675">
        <f>(Table1_1[[#This Row],[Total sales]]*Table1_1[[#This Row],[Commission]])+Table1_1[[#This Row],[Total sales]]</f>
        <v>226.24</v>
      </c>
    </row>
    <row r="676" spans="1:9" x14ac:dyDescent="0.3">
      <c r="A676" s="1">
        <v>43282</v>
      </c>
      <c r="B676" t="s">
        <v>23</v>
      </c>
      <c r="C676" t="s">
        <v>8</v>
      </c>
      <c r="D676">
        <v>20</v>
      </c>
      <c r="E676">
        <v>150</v>
      </c>
      <c r="F676">
        <v>0.04</v>
      </c>
      <c r="G676" t="s">
        <v>25</v>
      </c>
      <c r="H676">
        <v>3000</v>
      </c>
      <c r="I676">
        <f>(Table1_1[[#This Row],[Total sales]]*Table1_1[[#This Row],[Commission]])+Table1_1[[#This Row],[Total sales]]</f>
        <v>3120</v>
      </c>
    </row>
    <row r="677" spans="1:9" x14ac:dyDescent="0.3">
      <c r="A677" s="1">
        <v>43282</v>
      </c>
      <c r="B677" t="s">
        <v>10</v>
      </c>
      <c r="C677" t="s">
        <v>18</v>
      </c>
      <c r="D677">
        <v>9</v>
      </c>
      <c r="E677">
        <v>40</v>
      </c>
      <c r="F677">
        <v>0.06</v>
      </c>
      <c r="G677" t="s">
        <v>26</v>
      </c>
      <c r="H677">
        <v>360</v>
      </c>
      <c r="I677">
        <f>(Table1_1[[#This Row],[Total sales]]*Table1_1[[#This Row],[Commission]])+Table1_1[[#This Row],[Total sales]]</f>
        <v>381.6</v>
      </c>
    </row>
    <row r="678" spans="1:9" x14ac:dyDescent="0.3">
      <c r="A678" s="1">
        <v>43282</v>
      </c>
      <c r="B678" t="s">
        <v>23</v>
      </c>
      <c r="C678" t="s">
        <v>16</v>
      </c>
      <c r="D678">
        <v>18</v>
      </c>
      <c r="E678">
        <v>150</v>
      </c>
      <c r="F678">
        <v>0.06</v>
      </c>
      <c r="G678" t="s">
        <v>22</v>
      </c>
      <c r="H678">
        <v>2700</v>
      </c>
      <c r="I678">
        <f>(Table1_1[[#This Row],[Total sales]]*Table1_1[[#This Row],[Commission]])+Table1_1[[#This Row],[Total sales]]</f>
        <v>2862</v>
      </c>
    </row>
    <row r="679" spans="1:9" x14ac:dyDescent="0.3">
      <c r="A679" s="1">
        <v>43282</v>
      </c>
      <c r="B679" t="s">
        <v>13</v>
      </c>
      <c r="C679" t="s">
        <v>21</v>
      </c>
      <c r="D679">
        <v>17</v>
      </c>
      <c r="E679">
        <v>230</v>
      </c>
      <c r="F679">
        <v>0.11</v>
      </c>
      <c r="G679" t="s">
        <v>24</v>
      </c>
      <c r="H679">
        <v>3910</v>
      </c>
      <c r="I679">
        <f>(Table1_1[[#This Row],[Total sales]]*Table1_1[[#This Row],[Commission]])+Table1_1[[#This Row],[Total sales]]</f>
        <v>4340.1000000000004</v>
      </c>
    </row>
    <row r="680" spans="1:9" x14ac:dyDescent="0.3">
      <c r="A680" s="1">
        <v>43283</v>
      </c>
      <c r="B680" t="s">
        <v>10</v>
      </c>
      <c r="C680" t="s">
        <v>8</v>
      </c>
      <c r="D680">
        <v>20</v>
      </c>
      <c r="E680">
        <v>40</v>
      </c>
      <c r="F680">
        <v>0.04</v>
      </c>
      <c r="G680" t="s">
        <v>25</v>
      </c>
      <c r="H680">
        <v>800</v>
      </c>
      <c r="I680">
        <f>(Table1_1[[#This Row],[Total sales]]*Table1_1[[#This Row],[Commission]])+Table1_1[[#This Row],[Total sales]]</f>
        <v>832</v>
      </c>
    </row>
    <row r="681" spans="1:9" x14ac:dyDescent="0.3">
      <c r="A681" s="1">
        <v>43283</v>
      </c>
      <c r="B681" t="s">
        <v>10</v>
      </c>
      <c r="C681" t="s">
        <v>8</v>
      </c>
      <c r="D681">
        <v>23</v>
      </c>
      <c r="E681">
        <v>40</v>
      </c>
      <c r="F681">
        <v>0.03</v>
      </c>
      <c r="G681" t="s">
        <v>26</v>
      </c>
      <c r="H681">
        <v>920</v>
      </c>
      <c r="I681">
        <f>(Table1_1[[#This Row],[Total sales]]*Table1_1[[#This Row],[Commission]])+Table1_1[[#This Row],[Total sales]]</f>
        <v>947.6</v>
      </c>
    </row>
    <row r="682" spans="1:9" x14ac:dyDescent="0.3">
      <c r="A682" s="1">
        <v>43283</v>
      </c>
      <c r="B682" t="s">
        <v>13</v>
      </c>
      <c r="C682" t="s">
        <v>21</v>
      </c>
      <c r="D682">
        <v>21</v>
      </c>
      <c r="E682">
        <v>230</v>
      </c>
      <c r="F682">
        <v>0.05</v>
      </c>
      <c r="G682" t="s">
        <v>22</v>
      </c>
      <c r="H682">
        <v>4830</v>
      </c>
      <c r="I682">
        <f>(Table1_1[[#This Row],[Total sales]]*Table1_1[[#This Row],[Commission]])+Table1_1[[#This Row],[Total sales]]</f>
        <v>5071.5</v>
      </c>
    </row>
    <row r="683" spans="1:9" x14ac:dyDescent="0.3">
      <c r="A683" s="1">
        <v>43283</v>
      </c>
      <c r="B683" t="s">
        <v>7</v>
      </c>
      <c r="C683" t="s">
        <v>16</v>
      </c>
      <c r="D683">
        <v>6</v>
      </c>
      <c r="E683">
        <v>80</v>
      </c>
      <c r="F683">
        <v>0.09</v>
      </c>
      <c r="G683" t="s">
        <v>24</v>
      </c>
      <c r="H683">
        <v>480</v>
      </c>
      <c r="I683">
        <f>(Table1_1[[#This Row],[Total sales]]*Table1_1[[#This Row],[Commission]])+Table1_1[[#This Row],[Total sales]]</f>
        <v>523.20000000000005</v>
      </c>
    </row>
    <row r="684" spans="1:9" x14ac:dyDescent="0.3">
      <c r="A684" s="1">
        <v>43283</v>
      </c>
      <c r="B684" t="s">
        <v>20</v>
      </c>
      <c r="C684" t="s">
        <v>8</v>
      </c>
      <c r="D684">
        <v>20</v>
      </c>
      <c r="E684">
        <v>16</v>
      </c>
      <c r="F684">
        <v>0.01</v>
      </c>
      <c r="G684" t="s">
        <v>25</v>
      </c>
      <c r="H684">
        <v>320</v>
      </c>
      <c r="I684">
        <f>(Table1_1[[#This Row],[Total sales]]*Table1_1[[#This Row],[Commission]])+Table1_1[[#This Row],[Total sales]]</f>
        <v>323.2</v>
      </c>
    </row>
    <row r="685" spans="1:9" x14ac:dyDescent="0.3">
      <c r="A685" s="1">
        <v>43283</v>
      </c>
      <c r="B685" t="s">
        <v>10</v>
      </c>
      <c r="C685" t="s">
        <v>11</v>
      </c>
      <c r="D685">
        <v>8</v>
      </c>
      <c r="E685">
        <v>40</v>
      </c>
      <c r="F685">
        <v>0.09</v>
      </c>
      <c r="G685" t="s">
        <v>26</v>
      </c>
      <c r="H685">
        <v>320</v>
      </c>
      <c r="I685">
        <f>(Table1_1[[#This Row],[Total sales]]*Table1_1[[#This Row],[Commission]])+Table1_1[[#This Row],[Total sales]]</f>
        <v>348.8</v>
      </c>
    </row>
    <row r="686" spans="1:9" x14ac:dyDescent="0.3">
      <c r="A686" s="1">
        <v>43283</v>
      </c>
      <c r="B686" t="s">
        <v>13</v>
      </c>
      <c r="C686" t="s">
        <v>11</v>
      </c>
      <c r="D686">
        <v>15</v>
      </c>
      <c r="E686">
        <v>230</v>
      </c>
      <c r="F686">
        <v>0.09</v>
      </c>
      <c r="G686" t="s">
        <v>22</v>
      </c>
      <c r="H686">
        <v>3450</v>
      </c>
      <c r="I686">
        <f>(Table1_1[[#This Row],[Total sales]]*Table1_1[[#This Row],[Commission]])+Table1_1[[#This Row],[Total sales]]</f>
        <v>3760.5</v>
      </c>
    </row>
    <row r="687" spans="1:9" x14ac:dyDescent="0.3">
      <c r="A687" s="1">
        <v>43284</v>
      </c>
      <c r="B687" t="s">
        <v>7</v>
      </c>
      <c r="C687" t="s">
        <v>18</v>
      </c>
      <c r="D687">
        <v>21</v>
      </c>
      <c r="E687">
        <v>80</v>
      </c>
      <c r="F687">
        <v>0.02</v>
      </c>
      <c r="G687" t="s">
        <v>24</v>
      </c>
      <c r="H687">
        <v>1680</v>
      </c>
      <c r="I687">
        <f>(Table1_1[[#This Row],[Total sales]]*Table1_1[[#This Row],[Commission]])+Table1_1[[#This Row],[Total sales]]</f>
        <v>1713.6</v>
      </c>
    </row>
    <row r="688" spans="1:9" x14ac:dyDescent="0.3">
      <c r="A688" s="1">
        <v>43284</v>
      </c>
      <c r="B688" t="s">
        <v>7</v>
      </c>
      <c r="C688" t="s">
        <v>18</v>
      </c>
      <c r="D688">
        <v>19</v>
      </c>
      <c r="E688">
        <v>80</v>
      </c>
      <c r="F688">
        <v>0.02</v>
      </c>
      <c r="G688" t="s">
        <v>25</v>
      </c>
      <c r="H688">
        <v>1520</v>
      </c>
      <c r="I688">
        <f>(Table1_1[[#This Row],[Total sales]]*Table1_1[[#This Row],[Commission]])+Table1_1[[#This Row],[Total sales]]</f>
        <v>1550.4</v>
      </c>
    </row>
    <row r="689" spans="1:9" x14ac:dyDescent="0.3">
      <c r="A689" s="1">
        <v>43284</v>
      </c>
      <c r="B689" t="s">
        <v>20</v>
      </c>
      <c r="C689" t="s">
        <v>8</v>
      </c>
      <c r="D689">
        <v>7</v>
      </c>
      <c r="E689">
        <v>16</v>
      </c>
      <c r="F689">
        <v>0.08</v>
      </c>
      <c r="G689" t="s">
        <v>26</v>
      </c>
      <c r="H689">
        <v>112</v>
      </c>
      <c r="I689">
        <f>(Table1_1[[#This Row],[Total sales]]*Table1_1[[#This Row],[Commission]])+Table1_1[[#This Row],[Total sales]]</f>
        <v>120.96000000000001</v>
      </c>
    </row>
    <row r="690" spans="1:9" x14ac:dyDescent="0.3">
      <c r="A690" s="1">
        <v>43284</v>
      </c>
      <c r="B690" t="s">
        <v>10</v>
      </c>
      <c r="C690" t="s">
        <v>21</v>
      </c>
      <c r="D690">
        <v>11</v>
      </c>
      <c r="E690">
        <v>40</v>
      </c>
      <c r="F690">
        <v>0.05</v>
      </c>
      <c r="G690" t="s">
        <v>22</v>
      </c>
      <c r="H690">
        <v>440</v>
      </c>
      <c r="I690">
        <f>(Table1_1[[#This Row],[Total sales]]*Table1_1[[#This Row],[Commission]])+Table1_1[[#This Row],[Total sales]]</f>
        <v>462</v>
      </c>
    </row>
    <row r="691" spans="1:9" x14ac:dyDescent="0.3">
      <c r="A691" s="1">
        <v>43284</v>
      </c>
      <c r="B691" t="s">
        <v>13</v>
      </c>
      <c r="C691" t="s">
        <v>18</v>
      </c>
      <c r="D691">
        <v>8</v>
      </c>
      <c r="E691">
        <v>230</v>
      </c>
      <c r="F691">
        <v>0.05</v>
      </c>
      <c r="G691" t="s">
        <v>24</v>
      </c>
      <c r="H691">
        <v>1840</v>
      </c>
      <c r="I691">
        <f>(Table1_1[[#This Row],[Total sales]]*Table1_1[[#This Row],[Commission]])+Table1_1[[#This Row],[Total sales]]</f>
        <v>1932</v>
      </c>
    </row>
    <row r="692" spans="1:9" x14ac:dyDescent="0.3">
      <c r="A692" s="1">
        <v>43284</v>
      </c>
      <c r="B692" t="s">
        <v>7</v>
      </c>
      <c r="C692" t="s">
        <v>8</v>
      </c>
      <c r="D692">
        <v>18</v>
      </c>
      <c r="E692">
        <v>80</v>
      </c>
      <c r="F692">
        <v>0.02</v>
      </c>
      <c r="G692" t="s">
        <v>25</v>
      </c>
      <c r="H692">
        <v>1440</v>
      </c>
      <c r="I692">
        <f>(Table1_1[[#This Row],[Total sales]]*Table1_1[[#This Row],[Commission]])+Table1_1[[#This Row],[Total sales]]</f>
        <v>1468.8</v>
      </c>
    </row>
    <row r="693" spans="1:9" x14ac:dyDescent="0.3">
      <c r="A693" s="1">
        <v>43284</v>
      </c>
      <c r="B693" t="s">
        <v>10</v>
      </c>
      <c r="C693" t="s">
        <v>8</v>
      </c>
      <c r="D693">
        <v>7</v>
      </c>
      <c r="E693">
        <v>40</v>
      </c>
      <c r="F693">
        <v>0.1</v>
      </c>
      <c r="G693" t="s">
        <v>26</v>
      </c>
      <c r="H693">
        <v>280</v>
      </c>
      <c r="I693">
        <f>(Table1_1[[#This Row],[Total sales]]*Table1_1[[#This Row],[Commission]])+Table1_1[[#This Row],[Total sales]]</f>
        <v>308</v>
      </c>
    </row>
    <row r="694" spans="1:9" x14ac:dyDescent="0.3">
      <c r="A694" s="1">
        <v>43285</v>
      </c>
      <c r="B694" t="s">
        <v>20</v>
      </c>
      <c r="C694" t="s">
        <v>8</v>
      </c>
      <c r="D694">
        <v>16</v>
      </c>
      <c r="E694">
        <v>16</v>
      </c>
      <c r="F694">
        <v>0.03</v>
      </c>
      <c r="G694" t="s">
        <v>22</v>
      </c>
      <c r="H694">
        <v>256</v>
      </c>
      <c r="I694">
        <f>(Table1_1[[#This Row],[Total sales]]*Table1_1[[#This Row],[Commission]])+Table1_1[[#This Row],[Total sales]]</f>
        <v>263.68</v>
      </c>
    </row>
    <row r="695" spans="1:9" x14ac:dyDescent="0.3">
      <c r="A695" s="1">
        <v>43285</v>
      </c>
      <c r="B695" t="s">
        <v>7</v>
      </c>
      <c r="C695" t="s">
        <v>8</v>
      </c>
      <c r="D695">
        <v>8</v>
      </c>
      <c r="E695">
        <v>80</v>
      </c>
      <c r="F695">
        <v>0.08</v>
      </c>
      <c r="G695" t="s">
        <v>24</v>
      </c>
      <c r="H695">
        <v>640</v>
      </c>
      <c r="I695">
        <f>(Table1_1[[#This Row],[Total sales]]*Table1_1[[#This Row],[Commission]])+Table1_1[[#This Row],[Total sales]]</f>
        <v>691.2</v>
      </c>
    </row>
    <row r="696" spans="1:9" x14ac:dyDescent="0.3">
      <c r="A696" s="1">
        <v>43285</v>
      </c>
      <c r="B696" t="s">
        <v>13</v>
      </c>
      <c r="C696" t="s">
        <v>21</v>
      </c>
      <c r="D696">
        <v>22</v>
      </c>
      <c r="E696">
        <v>230</v>
      </c>
      <c r="F696">
        <v>0.1</v>
      </c>
      <c r="G696" t="s">
        <v>25</v>
      </c>
      <c r="H696">
        <v>5060</v>
      </c>
      <c r="I696">
        <f>(Table1_1[[#This Row],[Total sales]]*Table1_1[[#This Row],[Commission]])+Table1_1[[#This Row],[Total sales]]</f>
        <v>5566</v>
      </c>
    </row>
    <row r="697" spans="1:9" x14ac:dyDescent="0.3">
      <c r="A697" s="1">
        <v>43285</v>
      </c>
      <c r="B697" t="s">
        <v>13</v>
      </c>
      <c r="C697" t="s">
        <v>21</v>
      </c>
      <c r="D697">
        <v>3</v>
      </c>
      <c r="E697">
        <v>230</v>
      </c>
      <c r="F697">
        <v>0.1</v>
      </c>
      <c r="G697" t="s">
        <v>26</v>
      </c>
      <c r="H697">
        <v>690</v>
      </c>
      <c r="I697">
        <f>(Table1_1[[#This Row],[Total sales]]*Table1_1[[#This Row],[Commission]])+Table1_1[[#This Row],[Total sales]]</f>
        <v>759</v>
      </c>
    </row>
    <row r="698" spans="1:9" x14ac:dyDescent="0.3">
      <c r="A698" s="1">
        <v>43285</v>
      </c>
      <c r="B698" t="s">
        <v>13</v>
      </c>
      <c r="C698" t="s">
        <v>21</v>
      </c>
      <c r="D698">
        <v>20</v>
      </c>
      <c r="E698">
        <v>230</v>
      </c>
      <c r="F698">
        <v>0.11</v>
      </c>
      <c r="G698" t="s">
        <v>22</v>
      </c>
      <c r="H698">
        <v>4600</v>
      </c>
      <c r="I698">
        <f>(Table1_1[[#This Row],[Total sales]]*Table1_1[[#This Row],[Commission]])+Table1_1[[#This Row],[Total sales]]</f>
        <v>5106</v>
      </c>
    </row>
    <row r="699" spans="1:9" x14ac:dyDescent="0.3">
      <c r="A699" s="1">
        <v>43285</v>
      </c>
      <c r="B699" t="s">
        <v>20</v>
      </c>
      <c r="C699" t="s">
        <v>16</v>
      </c>
      <c r="D699">
        <v>12</v>
      </c>
      <c r="E699">
        <v>16</v>
      </c>
      <c r="F699">
        <v>0.03</v>
      </c>
      <c r="G699" t="s">
        <v>24</v>
      </c>
      <c r="H699">
        <v>192</v>
      </c>
      <c r="I699">
        <f>(Table1_1[[#This Row],[Total sales]]*Table1_1[[#This Row],[Commission]])+Table1_1[[#This Row],[Total sales]]</f>
        <v>197.76</v>
      </c>
    </row>
    <row r="700" spans="1:9" x14ac:dyDescent="0.3">
      <c r="A700" s="1">
        <v>43285</v>
      </c>
      <c r="B700" t="s">
        <v>10</v>
      </c>
      <c r="C700" t="s">
        <v>21</v>
      </c>
      <c r="D700">
        <v>20</v>
      </c>
      <c r="E700">
        <v>40</v>
      </c>
      <c r="F700">
        <v>7.0000000000000007E-2</v>
      </c>
      <c r="G700" t="s">
        <v>25</v>
      </c>
      <c r="H700">
        <v>800</v>
      </c>
      <c r="I700">
        <f>(Table1_1[[#This Row],[Total sales]]*Table1_1[[#This Row],[Commission]])+Table1_1[[#This Row],[Total sales]]</f>
        <v>856</v>
      </c>
    </row>
    <row r="701" spans="1:9" x14ac:dyDescent="0.3">
      <c r="A701" s="1">
        <v>43285</v>
      </c>
      <c r="B701" t="s">
        <v>13</v>
      </c>
      <c r="C701" t="s">
        <v>8</v>
      </c>
      <c r="D701">
        <v>3</v>
      </c>
      <c r="E701">
        <v>230</v>
      </c>
      <c r="F701">
        <v>0.06</v>
      </c>
      <c r="G701" t="s">
        <v>26</v>
      </c>
      <c r="H701">
        <v>690</v>
      </c>
      <c r="I701">
        <f>(Table1_1[[#This Row],[Total sales]]*Table1_1[[#This Row],[Commission]])+Table1_1[[#This Row],[Total sales]]</f>
        <v>731.4</v>
      </c>
    </row>
    <row r="702" spans="1:9" x14ac:dyDescent="0.3">
      <c r="A702" s="1">
        <v>43285</v>
      </c>
      <c r="B702" t="s">
        <v>7</v>
      </c>
      <c r="C702" t="s">
        <v>18</v>
      </c>
      <c r="D702">
        <v>16</v>
      </c>
      <c r="E702">
        <v>80</v>
      </c>
      <c r="F702">
        <v>7.0000000000000007E-2</v>
      </c>
      <c r="G702" t="s">
        <v>22</v>
      </c>
      <c r="H702">
        <v>1280</v>
      </c>
      <c r="I702">
        <f>(Table1_1[[#This Row],[Total sales]]*Table1_1[[#This Row],[Commission]])+Table1_1[[#This Row],[Total sales]]</f>
        <v>1369.6</v>
      </c>
    </row>
    <row r="703" spans="1:9" x14ac:dyDescent="0.3">
      <c r="A703" s="1">
        <v>43286</v>
      </c>
      <c r="B703" t="s">
        <v>10</v>
      </c>
      <c r="C703" t="s">
        <v>21</v>
      </c>
      <c r="D703">
        <v>3</v>
      </c>
      <c r="E703">
        <v>40</v>
      </c>
      <c r="F703">
        <v>0.03</v>
      </c>
      <c r="G703" t="s">
        <v>24</v>
      </c>
      <c r="H703">
        <v>120</v>
      </c>
      <c r="I703">
        <f>(Table1_1[[#This Row],[Total sales]]*Table1_1[[#This Row],[Commission]])+Table1_1[[#This Row],[Total sales]]</f>
        <v>123.6</v>
      </c>
    </row>
    <row r="704" spans="1:9" x14ac:dyDescent="0.3">
      <c r="A704" s="1">
        <v>43286</v>
      </c>
      <c r="B704" t="s">
        <v>13</v>
      </c>
      <c r="C704" t="s">
        <v>16</v>
      </c>
      <c r="D704">
        <v>12</v>
      </c>
      <c r="E704">
        <v>230</v>
      </c>
      <c r="F704">
        <v>0.03</v>
      </c>
      <c r="G704" t="s">
        <v>25</v>
      </c>
      <c r="H704">
        <v>2760</v>
      </c>
      <c r="I704">
        <f>(Table1_1[[#This Row],[Total sales]]*Table1_1[[#This Row],[Commission]])+Table1_1[[#This Row],[Total sales]]</f>
        <v>2842.8</v>
      </c>
    </row>
    <row r="705" spans="1:9" x14ac:dyDescent="0.3">
      <c r="A705" s="1">
        <v>43286</v>
      </c>
      <c r="B705" t="s">
        <v>10</v>
      </c>
      <c r="C705" t="s">
        <v>18</v>
      </c>
      <c r="D705">
        <v>22</v>
      </c>
      <c r="E705">
        <v>40</v>
      </c>
      <c r="F705">
        <v>0.01</v>
      </c>
      <c r="G705" t="s">
        <v>26</v>
      </c>
      <c r="H705">
        <v>880</v>
      </c>
      <c r="I705">
        <f>(Table1_1[[#This Row],[Total sales]]*Table1_1[[#This Row],[Commission]])+Table1_1[[#This Row],[Total sales]]</f>
        <v>888.8</v>
      </c>
    </row>
    <row r="706" spans="1:9" x14ac:dyDescent="0.3">
      <c r="A706" s="1">
        <v>43286</v>
      </c>
      <c r="B706" t="s">
        <v>10</v>
      </c>
      <c r="C706" t="s">
        <v>11</v>
      </c>
      <c r="D706">
        <v>19</v>
      </c>
      <c r="E706">
        <v>40</v>
      </c>
      <c r="F706">
        <v>0.1</v>
      </c>
      <c r="G706" t="s">
        <v>22</v>
      </c>
      <c r="H706">
        <v>760</v>
      </c>
      <c r="I706">
        <f>(Table1_1[[#This Row],[Total sales]]*Table1_1[[#This Row],[Commission]])+Table1_1[[#This Row],[Total sales]]</f>
        <v>836</v>
      </c>
    </row>
    <row r="707" spans="1:9" x14ac:dyDescent="0.3">
      <c r="A707" s="1">
        <v>43286</v>
      </c>
      <c r="B707" t="s">
        <v>7</v>
      </c>
      <c r="C707" t="s">
        <v>11</v>
      </c>
      <c r="D707">
        <v>21</v>
      </c>
      <c r="E707">
        <v>80</v>
      </c>
      <c r="F707">
        <v>0.04</v>
      </c>
      <c r="G707" t="s">
        <v>24</v>
      </c>
      <c r="H707">
        <v>1680</v>
      </c>
      <c r="I707">
        <f>(Table1_1[[#This Row],[Total sales]]*Table1_1[[#This Row],[Commission]])+Table1_1[[#This Row],[Total sales]]</f>
        <v>1747.2</v>
      </c>
    </row>
    <row r="708" spans="1:9" x14ac:dyDescent="0.3">
      <c r="A708" s="1">
        <v>43286</v>
      </c>
      <c r="B708" t="s">
        <v>7</v>
      </c>
      <c r="C708" t="s">
        <v>11</v>
      </c>
      <c r="D708">
        <v>2</v>
      </c>
      <c r="E708">
        <v>80</v>
      </c>
      <c r="F708">
        <v>0.04</v>
      </c>
      <c r="G708" t="s">
        <v>25</v>
      </c>
      <c r="H708">
        <v>160</v>
      </c>
      <c r="I708">
        <f>(Table1_1[[#This Row],[Total sales]]*Table1_1[[#This Row],[Commission]])+Table1_1[[#This Row],[Total sales]]</f>
        <v>166.4</v>
      </c>
    </row>
    <row r="709" spans="1:9" x14ac:dyDescent="0.3">
      <c r="A709" s="1">
        <v>43286</v>
      </c>
      <c r="B709" t="s">
        <v>23</v>
      </c>
      <c r="C709" t="s">
        <v>11</v>
      </c>
      <c r="D709">
        <v>15</v>
      </c>
      <c r="E709">
        <v>150</v>
      </c>
      <c r="F709">
        <v>0.02</v>
      </c>
      <c r="G709" t="s">
        <v>26</v>
      </c>
      <c r="H709">
        <v>2250</v>
      </c>
      <c r="I709">
        <f>(Table1_1[[#This Row],[Total sales]]*Table1_1[[#This Row],[Commission]])+Table1_1[[#This Row],[Total sales]]</f>
        <v>2295</v>
      </c>
    </row>
    <row r="710" spans="1:9" x14ac:dyDescent="0.3">
      <c r="A710" s="1">
        <v>43287</v>
      </c>
      <c r="B710" t="s">
        <v>10</v>
      </c>
      <c r="C710" t="s">
        <v>11</v>
      </c>
      <c r="D710">
        <v>14</v>
      </c>
      <c r="E710">
        <v>40</v>
      </c>
      <c r="F710">
        <v>0.06</v>
      </c>
      <c r="G710" t="s">
        <v>22</v>
      </c>
      <c r="H710">
        <v>560</v>
      </c>
      <c r="I710">
        <f>(Table1_1[[#This Row],[Total sales]]*Table1_1[[#This Row],[Commission]])+Table1_1[[#This Row],[Total sales]]</f>
        <v>593.6</v>
      </c>
    </row>
    <row r="711" spans="1:9" x14ac:dyDescent="0.3">
      <c r="A711" s="1">
        <v>43287</v>
      </c>
      <c r="B711" t="s">
        <v>7</v>
      </c>
      <c r="C711" t="s">
        <v>18</v>
      </c>
      <c r="D711">
        <v>7</v>
      </c>
      <c r="E711">
        <v>80</v>
      </c>
      <c r="F711">
        <v>7.0000000000000007E-2</v>
      </c>
      <c r="G711" t="s">
        <v>24</v>
      </c>
      <c r="H711">
        <v>560</v>
      </c>
      <c r="I711">
        <f>(Table1_1[[#This Row],[Total sales]]*Table1_1[[#This Row],[Commission]])+Table1_1[[#This Row],[Total sales]]</f>
        <v>599.20000000000005</v>
      </c>
    </row>
    <row r="712" spans="1:9" x14ac:dyDescent="0.3">
      <c r="A712" s="1">
        <v>43287</v>
      </c>
      <c r="B712" t="s">
        <v>7</v>
      </c>
      <c r="C712" t="s">
        <v>16</v>
      </c>
      <c r="D712">
        <v>7</v>
      </c>
      <c r="E712">
        <v>80</v>
      </c>
      <c r="F712">
        <v>0.05</v>
      </c>
      <c r="G712" t="s">
        <v>25</v>
      </c>
      <c r="H712">
        <v>560</v>
      </c>
      <c r="I712">
        <f>(Table1_1[[#This Row],[Total sales]]*Table1_1[[#This Row],[Commission]])+Table1_1[[#This Row],[Total sales]]</f>
        <v>588</v>
      </c>
    </row>
    <row r="713" spans="1:9" x14ac:dyDescent="0.3">
      <c r="A713" s="1">
        <v>43287</v>
      </c>
      <c r="B713" t="s">
        <v>23</v>
      </c>
      <c r="C713" t="s">
        <v>11</v>
      </c>
      <c r="D713">
        <v>10</v>
      </c>
      <c r="E713">
        <v>150</v>
      </c>
      <c r="F713">
        <v>0.01</v>
      </c>
      <c r="G713" t="s">
        <v>26</v>
      </c>
      <c r="H713">
        <v>1500</v>
      </c>
      <c r="I713">
        <f>(Table1_1[[#This Row],[Total sales]]*Table1_1[[#This Row],[Commission]])+Table1_1[[#This Row],[Total sales]]</f>
        <v>1515</v>
      </c>
    </row>
    <row r="714" spans="1:9" x14ac:dyDescent="0.3">
      <c r="A714" s="1">
        <v>43287</v>
      </c>
      <c r="B714" t="s">
        <v>7</v>
      </c>
      <c r="C714" t="s">
        <v>16</v>
      </c>
      <c r="D714">
        <v>10</v>
      </c>
      <c r="E714">
        <v>80</v>
      </c>
      <c r="F714">
        <v>0.08</v>
      </c>
      <c r="G714" t="s">
        <v>22</v>
      </c>
      <c r="H714">
        <v>800</v>
      </c>
      <c r="I714">
        <f>(Table1_1[[#This Row],[Total sales]]*Table1_1[[#This Row],[Commission]])+Table1_1[[#This Row],[Total sales]]</f>
        <v>864</v>
      </c>
    </row>
    <row r="715" spans="1:9" x14ac:dyDescent="0.3">
      <c r="A715" s="1">
        <v>43287</v>
      </c>
      <c r="B715" t="s">
        <v>7</v>
      </c>
      <c r="C715" t="s">
        <v>18</v>
      </c>
      <c r="D715">
        <v>15</v>
      </c>
      <c r="E715">
        <v>80</v>
      </c>
      <c r="F715">
        <v>0.08</v>
      </c>
      <c r="G715" t="s">
        <v>24</v>
      </c>
      <c r="H715">
        <v>1200</v>
      </c>
      <c r="I715">
        <f>(Table1_1[[#This Row],[Total sales]]*Table1_1[[#This Row],[Commission]])+Table1_1[[#This Row],[Total sales]]</f>
        <v>1296</v>
      </c>
    </row>
    <row r="716" spans="1:9" x14ac:dyDescent="0.3">
      <c r="A716" s="1">
        <v>43287</v>
      </c>
      <c r="B716" t="s">
        <v>13</v>
      </c>
      <c r="C716" t="s">
        <v>18</v>
      </c>
      <c r="D716">
        <v>18</v>
      </c>
      <c r="E716">
        <v>230</v>
      </c>
      <c r="F716">
        <v>0.01</v>
      </c>
      <c r="G716" t="s">
        <v>25</v>
      </c>
      <c r="H716">
        <v>4140</v>
      </c>
      <c r="I716">
        <f>(Table1_1[[#This Row],[Total sales]]*Table1_1[[#This Row],[Commission]])+Table1_1[[#This Row],[Total sales]]</f>
        <v>4181.3999999999996</v>
      </c>
    </row>
    <row r="717" spans="1:9" x14ac:dyDescent="0.3">
      <c r="A717" s="1">
        <v>43287</v>
      </c>
      <c r="B717" t="s">
        <v>7</v>
      </c>
      <c r="C717" t="s">
        <v>8</v>
      </c>
      <c r="D717">
        <v>8</v>
      </c>
      <c r="E717">
        <v>80</v>
      </c>
      <c r="F717">
        <v>0.09</v>
      </c>
      <c r="G717" t="s">
        <v>26</v>
      </c>
      <c r="H717">
        <v>640</v>
      </c>
      <c r="I717">
        <f>(Table1_1[[#This Row],[Total sales]]*Table1_1[[#This Row],[Commission]])+Table1_1[[#This Row],[Total sales]]</f>
        <v>697.6</v>
      </c>
    </row>
    <row r="718" spans="1:9" x14ac:dyDescent="0.3">
      <c r="A718" s="1">
        <v>43287</v>
      </c>
      <c r="B718" t="s">
        <v>20</v>
      </c>
      <c r="C718" t="s">
        <v>16</v>
      </c>
      <c r="D718">
        <v>6</v>
      </c>
      <c r="E718">
        <v>16</v>
      </c>
      <c r="F718">
        <v>0.01</v>
      </c>
      <c r="G718" t="s">
        <v>22</v>
      </c>
      <c r="H718">
        <v>96</v>
      </c>
      <c r="I718">
        <f>(Table1_1[[#This Row],[Total sales]]*Table1_1[[#This Row],[Commission]])+Table1_1[[#This Row],[Total sales]]</f>
        <v>96.96</v>
      </c>
    </row>
    <row r="719" spans="1:9" x14ac:dyDescent="0.3">
      <c r="A719" s="1">
        <v>43287</v>
      </c>
      <c r="B719" t="s">
        <v>13</v>
      </c>
      <c r="C719" t="s">
        <v>11</v>
      </c>
      <c r="D719">
        <v>9</v>
      </c>
      <c r="E719">
        <v>230</v>
      </c>
      <c r="F719">
        <v>0.03</v>
      </c>
      <c r="G719" t="s">
        <v>24</v>
      </c>
      <c r="H719">
        <v>2070</v>
      </c>
      <c r="I719">
        <f>(Table1_1[[#This Row],[Total sales]]*Table1_1[[#This Row],[Commission]])+Table1_1[[#This Row],[Total sales]]</f>
        <v>2132.1</v>
      </c>
    </row>
    <row r="720" spans="1:9" x14ac:dyDescent="0.3">
      <c r="A720" s="1">
        <v>43288</v>
      </c>
      <c r="B720" t="s">
        <v>10</v>
      </c>
      <c r="C720" t="s">
        <v>18</v>
      </c>
      <c r="D720">
        <v>15</v>
      </c>
      <c r="E720">
        <v>40</v>
      </c>
      <c r="F720">
        <v>0.03</v>
      </c>
      <c r="G720" t="s">
        <v>25</v>
      </c>
      <c r="H720">
        <v>600</v>
      </c>
      <c r="I720">
        <f>(Table1_1[[#This Row],[Total sales]]*Table1_1[[#This Row],[Commission]])+Table1_1[[#This Row],[Total sales]]</f>
        <v>618</v>
      </c>
    </row>
    <row r="721" spans="1:9" x14ac:dyDescent="0.3">
      <c r="A721" s="1">
        <v>43288</v>
      </c>
      <c r="B721" t="s">
        <v>10</v>
      </c>
      <c r="C721" t="s">
        <v>11</v>
      </c>
      <c r="D721">
        <v>15</v>
      </c>
      <c r="E721">
        <v>40</v>
      </c>
      <c r="F721">
        <v>0.04</v>
      </c>
      <c r="G721" t="s">
        <v>26</v>
      </c>
      <c r="H721">
        <v>600</v>
      </c>
      <c r="I721">
        <f>(Table1_1[[#This Row],[Total sales]]*Table1_1[[#This Row],[Commission]])+Table1_1[[#This Row],[Total sales]]</f>
        <v>624</v>
      </c>
    </row>
    <row r="722" spans="1:9" x14ac:dyDescent="0.3">
      <c r="A722" s="1">
        <v>43288</v>
      </c>
      <c r="B722" t="s">
        <v>20</v>
      </c>
      <c r="C722" t="s">
        <v>21</v>
      </c>
      <c r="D722">
        <v>11</v>
      </c>
      <c r="E722">
        <v>16</v>
      </c>
      <c r="F722">
        <v>0.12</v>
      </c>
      <c r="G722" t="s">
        <v>22</v>
      </c>
      <c r="H722">
        <v>176</v>
      </c>
      <c r="I722">
        <f>(Table1_1[[#This Row],[Total sales]]*Table1_1[[#This Row],[Commission]])+Table1_1[[#This Row],[Total sales]]</f>
        <v>197.12</v>
      </c>
    </row>
    <row r="723" spans="1:9" x14ac:dyDescent="0.3">
      <c r="A723" s="1">
        <v>43288</v>
      </c>
      <c r="B723" t="s">
        <v>20</v>
      </c>
      <c r="C723" t="s">
        <v>8</v>
      </c>
      <c r="D723">
        <v>12</v>
      </c>
      <c r="E723">
        <v>16</v>
      </c>
      <c r="F723">
        <v>0.11</v>
      </c>
      <c r="G723" t="s">
        <v>14</v>
      </c>
      <c r="H723">
        <v>192</v>
      </c>
      <c r="I723">
        <f>(Table1_1[[#This Row],[Total sales]]*Table1_1[[#This Row],[Commission]])+Table1_1[[#This Row],[Total sales]]</f>
        <v>213.12</v>
      </c>
    </row>
    <row r="724" spans="1:9" x14ac:dyDescent="0.3">
      <c r="A724" s="1">
        <v>43288</v>
      </c>
      <c r="B724" t="s">
        <v>20</v>
      </c>
      <c r="C724" t="s">
        <v>18</v>
      </c>
      <c r="D724">
        <v>18</v>
      </c>
      <c r="E724">
        <v>16</v>
      </c>
      <c r="F724">
        <v>0.04</v>
      </c>
      <c r="G724" t="s">
        <v>25</v>
      </c>
      <c r="H724">
        <v>288</v>
      </c>
      <c r="I724">
        <f>(Table1_1[[#This Row],[Total sales]]*Table1_1[[#This Row],[Commission]])+Table1_1[[#This Row],[Total sales]]</f>
        <v>299.52</v>
      </c>
    </row>
    <row r="725" spans="1:9" x14ac:dyDescent="0.3">
      <c r="A725" s="1">
        <v>43288</v>
      </c>
      <c r="B725" t="s">
        <v>10</v>
      </c>
      <c r="C725" t="s">
        <v>16</v>
      </c>
      <c r="D725">
        <v>20</v>
      </c>
      <c r="E725">
        <v>40</v>
      </c>
      <c r="F725">
        <v>0.01</v>
      </c>
      <c r="G725" t="s">
        <v>14</v>
      </c>
      <c r="H725">
        <v>800</v>
      </c>
      <c r="I725">
        <f>(Table1_1[[#This Row],[Total sales]]*Table1_1[[#This Row],[Commission]])+Table1_1[[#This Row],[Total sales]]</f>
        <v>808</v>
      </c>
    </row>
    <row r="726" spans="1:9" x14ac:dyDescent="0.3">
      <c r="A726" s="1">
        <v>43288</v>
      </c>
      <c r="B726" t="s">
        <v>23</v>
      </c>
      <c r="C726" t="s">
        <v>21</v>
      </c>
      <c r="D726">
        <v>7</v>
      </c>
      <c r="E726">
        <v>150</v>
      </c>
      <c r="F726">
        <v>0.03</v>
      </c>
      <c r="G726" t="s">
        <v>25</v>
      </c>
      <c r="H726">
        <v>1050</v>
      </c>
      <c r="I726">
        <f>(Table1_1[[#This Row],[Total sales]]*Table1_1[[#This Row],[Commission]])+Table1_1[[#This Row],[Total sales]]</f>
        <v>1081.5</v>
      </c>
    </row>
    <row r="727" spans="1:9" x14ac:dyDescent="0.3">
      <c r="A727" s="1">
        <v>43288</v>
      </c>
      <c r="B727" t="s">
        <v>10</v>
      </c>
      <c r="C727" t="s">
        <v>18</v>
      </c>
      <c r="D727">
        <v>23</v>
      </c>
      <c r="E727">
        <v>40</v>
      </c>
      <c r="F727">
        <v>0.06</v>
      </c>
      <c r="G727" t="s">
        <v>14</v>
      </c>
      <c r="H727">
        <v>920</v>
      </c>
      <c r="I727">
        <f>(Table1_1[[#This Row],[Total sales]]*Table1_1[[#This Row],[Commission]])+Table1_1[[#This Row],[Total sales]]</f>
        <v>975.2</v>
      </c>
    </row>
    <row r="728" spans="1:9" x14ac:dyDescent="0.3">
      <c r="A728" s="1">
        <v>43288</v>
      </c>
      <c r="B728" t="s">
        <v>7</v>
      </c>
      <c r="C728" t="s">
        <v>8</v>
      </c>
      <c r="D728">
        <v>7</v>
      </c>
      <c r="E728">
        <v>80</v>
      </c>
      <c r="F728">
        <v>0.02</v>
      </c>
      <c r="G728" t="s">
        <v>25</v>
      </c>
      <c r="H728">
        <v>560</v>
      </c>
      <c r="I728">
        <f>(Table1_1[[#This Row],[Total sales]]*Table1_1[[#This Row],[Commission]])+Table1_1[[#This Row],[Total sales]]</f>
        <v>571.20000000000005</v>
      </c>
    </row>
    <row r="729" spans="1:9" x14ac:dyDescent="0.3">
      <c r="A729" s="1">
        <v>43288</v>
      </c>
      <c r="B729" t="s">
        <v>23</v>
      </c>
      <c r="C729" t="s">
        <v>11</v>
      </c>
      <c r="D729">
        <v>16</v>
      </c>
      <c r="E729">
        <v>150</v>
      </c>
      <c r="F729">
        <v>0.05</v>
      </c>
      <c r="G729" t="s">
        <v>14</v>
      </c>
      <c r="H729">
        <v>2400</v>
      </c>
      <c r="I729">
        <f>(Table1_1[[#This Row],[Total sales]]*Table1_1[[#This Row],[Commission]])+Table1_1[[#This Row],[Total sales]]</f>
        <v>2520</v>
      </c>
    </row>
    <row r="730" spans="1:9" x14ac:dyDescent="0.3">
      <c r="A730" s="1">
        <v>43288</v>
      </c>
      <c r="B730" t="s">
        <v>13</v>
      </c>
      <c r="C730" t="s">
        <v>11</v>
      </c>
      <c r="D730">
        <v>6</v>
      </c>
      <c r="E730">
        <v>230</v>
      </c>
      <c r="F730">
        <v>0.1</v>
      </c>
      <c r="G730" t="s">
        <v>25</v>
      </c>
      <c r="H730">
        <v>1380</v>
      </c>
      <c r="I730">
        <f>(Table1_1[[#This Row],[Total sales]]*Table1_1[[#This Row],[Commission]])+Table1_1[[#This Row],[Total sales]]</f>
        <v>1518</v>
      </c>
    </row>
    <row r="731" spans="1:9" x14ac:dyDescent="0.3">
      <c r="A731" s="1">
        <v>43289</v>
      </c>
      <c r="B731" t="s">
        <v>10</v>
      </c>
      <c r="C731" t="s">
        <v>21</v>
      </c>
      <c r="D731">
        <v>7</v>
      </c>
      <c r="E731">
        <v>40</v>
      </c>
      <c r="F731">
        <v>0.12</v>
      </c>
      <c r="G731" t="s">
        <v>14</v>
      </c>
      <c r="H731">
        <v>280</v>
      </c>
      <c r="I731">
        <f>(Table1_1[[#This Row],[Total sales]]*Table1_1[[#This Row],[Commission]])+Table1_1[[#This Row],[Total sales]]</f>
        <v>313.60000000000002</v>
      </c>
    </row>
    <row r="732" spans="1:9" x14ac:dyDescent="0.3">
      <c r="A732" s="1">
        <v>43289</v>
      </c>
      <c r="B732" t="s">
        <v>7</v>
      </c>
      <c r="C732" t="s">
        <v>16</v>
      </c>
      <c r="D732">
        <v>23</v>
      </c>
      <c r="E732">
        <v>80</v>
      </c>
      <c r="F732">
        <v>0.05</v>
      </c>
      <c r="G732" t="s">
        <v>25</v>
      </c>
      <c r="H732">
        <v>1840</v>
      </c>
      <c r="I732">
        <f>(Table1_1[[#This Row],[Total sales]]*Table1_1[[#This Row],[Commission]])+Table1_1[[#This Row],[Total sales]]</f>
        <v>1932</v>
      </c>
    </row>
    <row r="733" spans="1:9" x14ac:dyDescent="0.3">
      <c r="A733" s="1">
        <v>43289</v>
      </c>
      <c r="B733" t="s">
        <v>7</v>
      </c>
      <c r="C733" t="s">
        <v>18</v>
      </c>
      <c r="D733">
        <v>16</v>
      </c>
      <c r="E733">
        <v>80</v>
      </c>
      <c r="F733">
        <v>0.1</v>
      </c>
      <c r="G733" t="s">
        <v>14</v>
      </c>
      <c r="H733">
        <v>1280</v>
      </c>
      <c r="I733">
        <f>(Table1_1[[#This Row],[Total sales]]*Table1_1[[#This Row],[Commission]])+Table1_1[[#This Row],[Total sales]]</f>
        <v>1408</v>
      </c>
    </row>
    <row r="734" spans="1:9" x14ac:dyDescent="0.3">
      <c r="A734" s="1">
        <v>43289</v>
      </c>
      <c r="B734" t="s">
        <v>7</v>
      </c>
      <c r="C734" t="s">
        <v>8</v>
      </c>
      <c r="D734">
        <v>16</v>
      </c>
      <c r="E734">
        <v>80</v>
      </c>
      <c r="F734">
        <v>0.03</v>
      </c>
      <c r="G734" t="s">
        <v>25</v>
      </c>
      <c r="H734">
        <v>1280</v>
      </c>
      <c r="I734">
        <f>(Table1_1[[#This Row],[Total sales]]*Table1_1[[#This Row],[Commission]])+Table1_1[[#This Row],[Total sales]]</f>
        <v>1318.4</v>
      </c>
    </row>
    <row r="735" spans="1:9" x14ac:dyDescent="0.3">
      <c r="A735" s="1">
        <v>43289</v>
      </c>
      <c r="B735" t="s">
        <v>7</v>
      </c>
      <c r="C735" t="s">
        <v>21</v>
      </c>
      <c r="D735">
        <v>22</v>
      </c>
      <c r="E735">
        <v>80</v>
      </c>
      <c r="F735">
        <v>0.09</v>
      </c>
      <c r="G735" t="s">
        <v>14</v>
      </c>
      <c r="H735">
        <v>1760</v>
      </c>
      <c r="I735">
        <f>(Table1_1[[#This Row],[Total sales]]*Table1_1[[#This Row],[Commission]])+Table1_1[[#This Row],[Total sales]]</f>
        <v>1918.4</v>
      </c>
    </row>
    <row r="736" spans="1:9" x14ac:dyDescent="0.3">
      <c r="A736" s="1">
        <v>43289</v>
      </c>
      <c r="B736" t="s">
        <v>20</v>
      </c>
      <c r="C736" t="s">
        <v>8</v>
      </c>
      <c r="D736">
        <v>18</v>
      </c>
      <c r="E736">
        <v>16</v>
      </c>
      <c r="F736">
        <v>0.05</v>
      </c>
      <c r="G736" t="s">
        <v>25</v>
      </c>
      <c r="H736">
        <v>288</v>
      </c>
      <c r="I736">
        <f>(Table1_1[[#This Row],[Total sales]]*Table1_1[[#This Row],[Commission]])+Table1_1[[#This Row],[Total sales]]</f>
        <v>302.39999999999998</v>
      </c>
    </row>
    <row r="737" spans="1:9" x14ac:dyDescent="0.3">
      <c r="A737" s="1">
        <v>43289</v>
      </c>
      <c r="B737" t="s">
        <v>13</v>
      </c>
      <c r="C737" t="s">
        <v>21</v>
      </c>
      <c r="D737">
        <v>5</v>
      </c>
      <c r="E737">
        <v>230</v>
      </c>
      <c r="F737">
        <v>0.12</v>
      </c>
      <c r="G737" t="s">
        <v>14</v>
      </c>
      <c r="H737">
        <v>1150</v>
      </c>
      <c r="I737">
        <f>(Table1_1[[#This Row],[Total sales]]*Table1_1[[#This Row],[Commission]])+Table1_1[[#This Row],[Total sales]]</f>
        <v>1288</v>
      </c>
    </row>
    <row r="738" spans="1:9" x14ac:dyDescent="0.3">
      <c r="A738" s="1">
        <v>43289</v>
      </c>
      <c r="B738" t="s">
        <v>23</v>
      </c>
      <c r="C738" t="s">
        <v>21</v>
      </c>
      <c r="D738">
        <v>7</v>
      </c>
      <c r="E738">
        <v>150</v>
      </c>
      <c r="F738">
        <v>0.02</v>
      </c>
      <c r="G738" t="s">
        <v>25</v>
      </c>
      <c r="H738">
        <v>1050</v>
      </c>
      <c r="I738">
        <f>(Table1_1[[#This Row],[Total sales]]*Table1_1[[#This Row],[Commission]])+Table1_1[[#This Row],[Total sales]]</f>
        <v>1071</v>
      </c>
    </row>
    <row r="739" spans="1:9" x14ac:dyDescent="0.3">
      <c r="A739" s="1">
        <v>43289</v>
      </c>
      <c r="B739" t="s">
        <v>10</v>
      </c>
      <c r="C739" t="s">
        <v>16</v>
      </c>
      <c r="D739">
        <v>2</v>
      </c>
      <c r="E739">
        <v>40</v>
      </c>
      <c r="F739">
        <v>0.03</v>
      </c>
      <c r="G739" t="s">
        <v>14</v>
      </c>
      <c r="H739">
        <v>80</v>
      </c>
      <c r="I739">
        <f>(Table1_1[[#This Row],[Total sales]]*Table1_1[[#This Row],[Commission]])+Table1_1[[#This Row],[Total sales]]</f>
        <v>82.4</v>
      </c>
    </row>
    <row r="740" spans="1:9" x14ac:dyDescent="0.3">
      <c r="A740" s="1">
        <v>43289</v>
      </c>
      <c r="B740" t="s">
        <v>10</v>
      </c>
      <c r="C740" t="s">
        <v>18</v>
      </c>
      <c r="D740">
        <v>11</v>
      </c>
      <c r="E740">
        <v>40</v>
      </c>
      <c r="F740">
        <v>0.06</v>
      </c>
      <c r="G740" t="s">
        <v>25</v>
      </c>
      <c r="H740">
        <v>440</v>
      </c>
      <c r="I740">
        <f>(Table1_1[[#This Row],[Total sales]]*Table1_1[[#This Row],[Commission]])+Table1_1[[#This Row],[Total sales]]</f>
        <v>466.4</v>
      </c>
    </row>
    <row r="741" spans="1:9" x14ac:dyDescent="0.3">
      <c r="A741" s="1">
        <v>43289</v>
      </c>
      <c r="B741" t="s">
        <v>7</v>
      </c>
      <c r="C741" t="s">
        <v>18</v>
      </c>
      <c r="D741">
        <v>7</v>
      </c>
      <c r="E741">
        <v>80</v>
      </c>
      <c r="F741">
        <v>0.02</v>
      </c>
      <c r="G741" t="s">
        <v>14</v>
      </c>
      <c r="H741">
        <v>560</v>
      </c>
      <c r="I741">
        <f>(Table1_1[[#This Row],[Total sales]]*Table1_1[[#This Row],[Commission]])+Table1_1[[#This Row],[Total sales]]</f>
        <v>571.20000000000005</v>
      </c>
    </row>
    <row r="742" spans="1:9" x14ac:dyDescent="0.3">
      <c r="A742" s="1">
        <v>43290</v>
      </c>
      <c r="B742" t="s">
        <v>10</v>
      </c>
      <c r="C742" t="s">
        <v>16</v>
      </c>
      <c r="D742">
        <v>4</v>
      </c>
      <c r="E742">
        <v>40</v>
      </c>
      <c r="F742">
        <v>0.11</v>
      </c>
      <c r="G742" t="s">
        <v>25</v>
      </c>
      <c r="H742">
        <v>160</v>
      </c>
      <c r="I742">
        <f>(Table1_1[[#This Row],[Total sales]]*Table1_1[[#This Row],[Commission]])+Table1_1[[#This Row],[Total sales]]</f>
        <v>177.6</v>
      </c>
    </row>
    <row r="743" spans="1:9" x14ac:dyDescent="0.3">
      <c r="A743" s="1">
        <v>43290</v>
      </c>
      <c r="B743" t="s">
        <v>10</v>
      </c>
      <c r="C743" t="s">
        <v>16</v>
      </c>
      <c r="D743">
        <v>2</v>
      </c>
      <c r="E743">
        <v>40</v>
      </c>
      <c r="F743">
        <v>0.02</v>
      </c>
      <c r="G743" t="s">
        <v>14</v>
      </c>
      <c r="H743">
        <v>80</v>
      </c>
      <c r="I743">
        <f>(Table1_1[[#This Row],[Total sales]]*Table1_1[[#This Row],[Commission]])+Table1_1[[#This Row],[Total sales]]</f>
        <v>81.599999999999994</v>
      </c>
    </row>
    <row r="744" spans="1:9" x14ac:dyDescent="0.3">
      <c r="A744" s="1">
        <v>43290</v>
      </c>
      <c r="B744" t="s">
        <v>13</v>
      </c>
      <c r="C744" t="s">
        <v>18</v>
      </c>
      <c r="D744">
        <v>23</v>
      </c>
      <c r="E744">
        <v>230</v>
      </c>
      <c r="F744">
        <v>0.06</v>
      </c>
      <c r="G744" t="s">
        <v>25</v>
      </c>
      <c r="H744">
        <v>5290</v>
      </c>
      <c r="I744">
        <f>(Table1_1[[#This Row],[Total sales]]*Table1_1[[#This Row],[Commission]])+Table1_1[[#This Row],[Total sales]]</f>
        <v>5607.4</v>
      </c>
    </row>
    <row r="745" spans="1:9" x14ac:dyDescent="0.3">
      <c r="A745" s="1">
        <v>43290</v>
      </c>
      <c r="B745" t="s">
        <v>7</v>
      </c>
      <c r="C745" t="s">
        <v>21</v>
      </c>
      <c r="D745">
        <v>21</v>
      </c>
      <c r="E745">
        <v>80</v>
      </c>
      <c r="F745">
        <v>0.09</v>
      </c>
      <c r="G745" t="s">
        <v>14</v>
      </c>
      <c r="H745">
        <v>1680</v>
      </c>
      <c r="I745">
        <f>(Table1_1[[#This Row],[Total sales]]*Table1_1[[#This Row],[Commission]])+Table1_1[[#This Row],[Total sales]]</f>
        <v>1831.2</v>
      </c>
    </row>
    <row r="746" spans="1:9" x14ac:dyDescent="0.3">
      <c r="A746" s="1">
        <v>43290</v>
      </c>
      <c r="B746" t="s">
        <v>7</v>
      </c>
      <c r="C746" t="s">
        <v>21</v>
      </c>
      <c r="D746">
        <v>9</v>
      </c>
      <c r="E746">
        <v>80</v>
      </c>
      <c r="F746">
        <v>0.06</v>
      </c>
      <c r="G746" t="s">
        <v>25</v>
      </c>
      <c r="H746">
        <v>720</v>
      </c>
      <c r="I746">
        <f>(Table1_1[[#This Row],[Total sales]]*Table1_1[[#This Row],[Commission]])+Table1_1[[#This Row],[Total sales]]</f>
        <v>763.2</v>
      </c>
    </row>
    <row r="747" spans="1:9" x14ac:dyDescent="0.3">
      <c r="A747" s="1">
        <v>43290</v>
      </c>
      <c r="B747" t="s">
        <v>7</v>
      </c>
      <c r="C747" t="s">
        <v>21</v>
      </c>
      <c r="D747">
        <v>22</v>
      </c>
      <c r="E747">
        <v>80</v>
      </c>
      <c r="F747">
        <v>0.11</v>
      </c>
      <c r="G747" t="s">
        <v>14</v>
      </c>
      <c r="H747">
        <v>1760</v>
      </c>
      <c r="I747">
        <f>(Table1_1[[#This Row],[Total sales]]*Table1_1[[#This Row],[Commission]])+Table1_1[[#This Row],[Total sales]]</f>
        <v>1953.6</v>
      </c>
    </row>
    <row r="748" spans="1:9" x14ac:dyDescent="0.3">
      <c r="A748" s="1">
        <v>43291</v>
      </c>
      <c r="B748" t="s">
        <v>13</v>
      </c>
      <c r="C748" t="s">
        <v>16</v>
      </c>
      <c r="D748">
        <v>15</v>
      </c>
      <c r="E748">
        <v>230</v>
      </c>
      <c r="F748">
        <v>0.11</v>
      </c>
      <c r="G748" t="s">
        <v>25</v>
      </c>
      <c r="H748">
        <v>3450</v>
      </c>
      <c r="I748">
        <f>(Table1_1[[#This Row],[Total sales]]*Table1_1[[#This Row],[Commission]])+Table1_1[[#This Row],[Total sales]]</f>
        <v>3829.5</v>
      </c>
    </row>
    <row r="749" spans="1:9" x14ac:dyDescent="0.3">
      <c r="A749" s="1">
        <v>43291</v>
      </c>
      <c r="B749" t="s">
        <v>10</v>
      </c>
      <c r="C749" t="s">
        <v>11</v>
      </c>
      <c r="D749">
        <v>7</v>
      </c>
      <c r="E749">
        <v>40</v>
      </c>
      <c r="F749">
        <v>0.01</v>
      </c>
      <c r="G749" t="s">
        <v>14</v>
      </c>
      <c r="H749">
        <v>280</v>
      </c>
      <c r="I749">
        <f>(Table1_1[[#This Row],[Total sales]]*Table1_1[[#This Row],[Commission]])+Table1_1[[#This Row],[Total sales]]</f>
        <v>282.8</v>
      </c>
    </row>
    <row r="750" spans="1:9" x14ac:dyDescent="0.3">
      <c r="A750" s="1">
        <v>43291</v>
      </c>
      <c r="B750" t="s">
        <v>23</v>
      </c>
      <c r="C750" t="s">
        <v>21</v>
      </c>
      <c r="D750">
        <v>17</v>
      </c>
      <c r="E750">
        <v>150</v>
      </c>
      <c r="F750">
        <v>0.02</v>
      </c>
      <c r="G750" t="s">
        <v>25</v>
      </c>
      <c r="H750">
        <v>2550</v>
      </c>
      <c r="I750">
        <f>(Table1_1[[#This Row],[Total sales]]*Table1_1[[#This Row],[Commission]])+Table1_1[[#This Row],[Total sales]]</f>
        <v>2601</v>
      </c>
    </row>
    <row r="751" spans="1:9" x14ac:dyDescent="0.3">
      <c r="A751" s="1">
        <v>43291</v>
      </c>
      <c r="B751" t="s">
        <v>23</v>
      </c>
      <c r="C751" t="s">
        <v>11</v>
      </c>
      <c r="D751">
        <v>22</v>
      </c>
      <c r="E751">
        <v>150</v>
      </c>
      <c r="F751">
        <v>0.02</v>
      </c>
      <c r="G751" t="s">
        <v>14</v>
      </c>
      <c r="H751">
        <v>3300</v>
      </c>
      <c r="I751">
        <f>(Table1_1[[#This Row],[Total sales]]*Table1_1[[#This Row],[Commission]])+Table1_1[[#This Row],[Total sales]]</f>
        <v>3366</v>
      </c>
    </row>
    <row r="752" spans="1:9" x14ac:dyDescent="0.3">
      <c r="A752" s="1">
        <v>43291</v>
      </c>
      <c r="B752" t="s">
        <v>13</v>
      </c>
      <c r="C752" t="s">
        <v>16</v>
      </c>
      <c r="D752">
        <v>10</v>
      </c>
      <c r="E752">
        <v>230</v>
      </c>
      <c r="F752">
        <v>0.02</v>
      </c>
      <c r="G752" t="s">
        <v>25</v>
      </c>
      <c r="H752">
        <v>2300</v>
      </c>
      <c r="I752">
        <f>(Table1_1[[#This Row],[Total sales]]*Table1_1[[#This Row],[Commission]])+Table1_1[[#This Row],[Total sales]]</f>
        <v>2346</v>
      </c>
    </row>
    <row r="753" spans="1:9" x14ac:dyDescent="0.3">
      <c r="A753" s="1">
        <v>43291</v>
      </c>
      <c r="B753" t="s">
        <v>10</v>
      </c>
      <c r="C753" t="s">
        <v>21</v>
      </c>
      <c r="D753">
        <v>21</v>
      </c>
      <c r="E753">
        <v>40</v>
      </c>
      <c r="F753">
        <v>0.01</v>
      </c>
      <c r="G753" t="s">
        <v>14</v>
      </c>
      <c r="H753">
        <v>840</v>
      </c>
      <c r="I753">
        <f>(Table1_1[[#This Row],[Total sales]]*Table1_1[[#This Row],[Commission]])+Table1_1[[#This Row],[Total sales]]</f>
        <v>848.4</v>
      </c>
    </row>
    <row r="754" spans="1:9" x14ac:dyDescent="0.3">
      <c r="A754" s="1">
        <v>43291</v>
      </c>
      <c r="B754" t="s">
        <v>13</v>
      </c>
      <c r="C754" t="s">
        <v>16</v>
      </c>
      <c r="D754">
        <v>5</v>
      </c>
      <c r="E754">
        <v>230</v>
      </c>
      <c r="F754">
        <v>0.1</v>
      </c>
      <c r="G754" t="s">
        <v>25</v>
      </c>
      <c r="H754">
        <v>1150</v>
      </c>
      <c r="I754">
        <f>(Table1_1[[#This Row],[Total sales]]*Table1_1[[#This Row],[Commission]])+Table1_1[[#This Row],[Total sales]]</f>
        <v>1265</v>
      </c>
    </row>
    <row r="755" spans="1:9" x14ac:dyDescent="0.3">
      <c r="A755" s="1">
        <v>43291</v>
      </c>
      <c r="B755" t="s">
        <v>13</v>
      </c>
      <c r="C755" t="s">
        <v>21</v>
      </c>
      <c r="D755">
        <v>13</v>
      </c>
      <c r="E755">
        <v>230</v>
      </c>
      <c r="F755">
        <v>0.06</v>
      </c>
      <c r="G755" t="s">
        <v>14</v>
      </c>
      <c r="H755">
        <v>2990</v>
      </c>
      <c r="I755">
        <f>(Table1_1[[#This Row],[Total sales]]*Table1_1[[#This Row],[Commission]])+Table1_1[[#This Row],[Total sales]]</f>
        <v>3169.4</v>
      </c>
    </row>
    <row r="756" spans="1:9" x14ac:dyDescent="0.3">
      <c r="A756" s="1">
        <v>43291</v>
      </c>
      <c r="B756" t="s">
        <v>23</v>
      </c>
      <c r="C756" t="s">
        <v>8</v>
      </c>
      <c r="D756">
        <v>23</v>
      </c>
      <c r="E756">
        <v>150</v>
      </c>
      <c r="F756">
        <v>0.1</v>
      </c>
      <c r="G756" t="s">
        <v>25</v>
      </c>
      <c r="H756">
        <v>3450</v>
      </c>
      <c r="I756">
        <f>(Table1_1[[#This Row],[Total sales]]*Table1_1[[#This Row],[Commission]])+Table1_1[[#This Row],[Total sales]]</f>
        <v>3795</v>
      </c>
    </row>
    <row r="757" spans="1:9" x14ac:dyDescent="0.3">
      <c r="A757" s="1">
        <v>43291</v>
      </c>
      <c r="B757" t="s">
        <v>23</v>
      </c>
      <c r="C757" t="s">
        <v>8</v>
      </c>
      <c r="D757">
        <v>20</v>
      </c>
      <c r="E757">
        <v>150</v>
      </c>
      <c r="F757">
        <v>0.03</v>
      </c>
      <c r="G757" t="s">
        <v>14</v>
      </c>
      <c r="H757">
        <v>3000</v>
      </c>
      <c r="I757">
        <f>(Table1_1[[#This Row],[Total sales]]*Table1_1[[#This Row],[Commission]])+Table1_1[[#This Row],[Total sales]]</f>
        <v>3090</v>
      </c>
    </row>
    <row r="758" spans="1:9" x14ac:dyDescent="0.3">
      <c r="A758" s="1">
        <v>43292</v>
      </c>
      <c r="B758" t="s">
        <v>13</v>
      </c>
      <c r="C758" t="s">
        <v>8</v>
      </c>
      <c r="D758">
        <v>3</v>
      </c>
      <c r="E758">
        <v>230</v>
      </c>
      <c r="F758">
        <v>0.11</v>
      </c>
      <c r="G758" t="s">
        <v>25</v>
      </c>
      <c r="H758">
        <v>690</v>
      </c>
      <c r="I758">
        <f>(Table1_1[[#This Row],[Total sales]]*Table1_1[[#This Row],[Commission]])+Table1_1[[#This Row],[Total sales]]</f>
        <v>765.9</v>
      </c>
    </row>
    <row r="759" spans="1:9" x14ac:dyDescent="0.3">
      <c r="A759" s="1">
        <v>43292</v>
      </c>
      <c r="B759" t="s">
        <v>23</v>
      </c>
      <c r="C759" t="s">
        <v>11</v>
      </c>
      <c r="D759">
        <v>16</v>
      </c>
      <c r="E759">
        <v>150</v>
      </c>
      <c r="F759">
        <v>0.08</v>
      </c>
      <c r="G759" t="s">
        <v>14</v>
      </c>
      <c r="H759">
        <v>2400</v>
      </c>
      <c r="I759">
        <f>(Table1_1[[#This Row],[Total sales]]*Table1_1[[#This Row],[Commission]])+Table1_1[[#This Row],[Total sales]]</f>
        <v>2592</v>
      </c>
    </row>
    <row r="760" spans="1:9" x14ac:dyDescent="0.3">
      <c r="A760" s="1">
        <v>43292</v>
      </c>
      <c r="B760" t="s">
        <v>20</v>
      </c>
      <c r="C760" t="s">
        <v>21</v>
      </c>
      <c r="D760">
        <v>14</v>
      </c>
      <c r="E760">
        <v>16</v>
      </c>
      <c r="F760">
        <v>0.06</v>
      </c>
      <c r="G760" t="s">
        <v>25</v>
      </c>
      <c r="H760">
        <v>224</v>
      </c>
      <c r="I760">
        <f>(Table1_1[[#This Row],[Total sales]]*Table1_1[[#This Row],[Commission]])+Table1_1[[#This Row],[Total sales]]</f>
        <v>237.44</v>
      </c>
    </row>
    <row r="761" spans="1:9" x14ac:dyDescent="0.3">
      <c r="A761" s="1">
        <v>43292</v>
      </c>
      <c r="B761" t="s">
        <v>23</v>
      </c>
      <c r="C761" t="s">
        <v>11</v>
      </c>
      <c r="D761">
        <v>16</v>
      </c>
      <c r="E761">
        <v>150</v>
      </c>
      <c r="F761">
        <v>0.03</v>
      </c>
      <c r="G761" t="s">
        <v>14</v>
      </c>
      <c r="H761">
        <v>2400</v>
      </c>
      <c r="I761">
        <f>(Table1_1[[#This Row],[Total sales]]*Table1_1[[#This Row],[Commission]])+Table1_1[[#This Row],[Total sales]]</f>
        <v>2472</v>
      </c>
    </row>
    <row r="762" spans="1:9" x14ac:dyDescent="0.3">
      <c r="A762" s="1">
        <v>43292</v>
      </c>
      <c r="B762" t="s">
        <v>20</v>
      </c>
      <c r="C762" t="s">
        <v>21</v>
      </c>
      <c r="D762">
        <v>19</v>
      </c>
      <c r="E762">
        <v>16</v>
      </c>
      <c r="F762">
        <v>0.02</v>
      </c>
      <c r="G762" t="s">
        <v>25</v>
      </c>
      <c r="H762">
        <v>304</v>
      </c>
      <c r="I762">
        <f>(Table1_1[[#This Row],[Total sales]]*Table1_1[[#This Row],[Commission]])+Table1_1[[#This Row],[Total sales]]</f>
        <v>310.08</v>
      </c>
    </row>
    <row r="763" spans="1:9" x14ac:dyDescent="0.3">
      <c r="A763" s="1">
        <v>43292</v>
      </c>
      <c r="B763" t="s">
        <v>7</v>
      </c>
      <c r="C763" t="s">
        <v>21</v>
      </c>
      <c r="D763">
        <v>6</v>
      </c>
      <c r="E763">
        <v>80</v>
      </c>
      <c r="F763">
        <v>0.09</v>
      </c>
      <c r="G763" t="s">
        <v>14</v>
      </c>
      <c r="H763">
        <v>480</v>
      </c>
      <c r="I763">
        <f>(Table1_1[[#This Row],[Total sales]]*Table1_1[[#This Row],[Commission]])+Table1_1[[#This Row],[Total sales]]</f>
        <v>523.20000000000005</v>
      </c>
    </row>
    <row r="764" spans="1:9" x14ac:dyDescent="0.3">
      <c r="A764" s="1">
        <v>43292</v>
      </c>
      <c r="B764" t="s">
        <v>7</v>
      </c>
      <c r="C764" t="s">
        <v>21</v>
      </c>
      <c r="D764">
        <v>9</v>
      </c>
      <c r="E764">
        <v>80</v>
      </c>
      <c r="F764">
        <v>7.0000000000000007E-2</v>
      </c>
      <c r="G764" t="s">
        <v>25</v>
      </c>
      <c r="H764">
        <v>720</v>
      </c>
      <c r="I764">
        <f>(Table1_1[[#This Row],[Total sales]]*Table1_1[[#This Row],[Commission]])+Table1_1[[#This Row],[Total sales]]</f>
        <v>770.4</v>
      </c>
    </row>
    <row r="765" spans="1:9" x14ac:dyDescent="0.3">
      <c r="A765" s="1">
        <v>43292</v>
      </c>
      <c r="B765" t="s">
        <v>23</v>
      </c>
      <c r="C765" t="s">
        <v>11</v>
      </c>
      <c r="D765">
        <v>20</v>
      </c>
      <c r="E765">
        <v>150</v>
      </c>
      <c r="F765">
        <v>0.09</v>
      </c>
      <c r="G765" t="s">
        <v>14</v>
      </c>
      <c r="H765">
        <v>3000</v>
      </c>
      <c r="I765">
        <f>(Table1_1[[#This Row],[Total sales]]*Table1_1[[#This Row],[Commission]])+Table1_1[[#This Row],[Total sales]]</f>
        <v>3270</v>
      </c>
    </row>
    <row r="766" spans="1:9" x14ac:dyDescent="0.3">
      <c r="A766" s="1">
        <v>43292</v>
      </c>
      <c r="B766" t="s">
        <v>7</v>
      </c>
      <c r="C766" t="s">
        <v>16</v>
      </c>
      <c r="D766">
        <v>10</v>
      </c>
      <c r="E766">
        <v>80</v>
      </c>
      <c r="F766">
        <v>0.11</v>
      </c>
      <c r="G766" t="s">
        <v>25</v>
      </c>
      <c r="H766">
        <v>800</v>
      </c>
      <c r="I766">
        <f>(Table1_1[[#This Row],[Total sales]]*Table1_1[[#This Row],[Commission]])+Table1_1[[#This Row],[Total sales]]</f>
        <v>888</v>
      </c>
    </row>
    <row r="767" spans="1:9" x14ac:dyDescent="0.3">
      <c r="A767" s="1">
        <v>43292</v>
      </c>
      <c r="B767" t="s">
        <v>20</v>
      </c>
      <c r="C767" t="s">
        <v>8</v>
      </c>
      <c r="D767">
        <v>4</v>
      </c>
      <c r="E767">
        <v>16</v>
      </c>
      <c r="F767">
        <v>0.12</v>
      </c>
      <c r="G767" t="s">
        <v>14</v>
      </c>
      <c r="H767">
        <v>64</v>
      </c>
      <c r="I767">
        <f>(Table1_1[[#This Row],[Total sales]]*Table1_1[[#This Row],[Commission]])+Table1_1[[#This Row],[Total sales]]</f>
        <v>71.680000000000007</v>
      </c>
    </row>
    <row r="768" spans="1:9" x14ac:dyDescent="0.3">
      <c r="A768" s="1">
        <v>43292</v>
      </c>
      <c r="B768" t="s">
        <v>10</v>
      </c>
      <c r="C768" t="s">
        <v>21</v>
      </c>
      <c r="D768">
        <v>16</v>
      </c>
      <c r="E768">
        <v>40</v>
      </c>
      <c r="F768">
        <v>0.11</v>
      </c>
      <c r="G768" t="s">
        <v>25</v>
      </c>
      <c r="H768">
        <v>640</v>
      </c>
      <c r="I768">
        <f>(Table1_1[[#This Row],[Total sales]]*Table1_1[[#This Row],[Commission]])+Table1_1[[#This Row],[Total sales]]</f>
        <v>710.4</v>
      </c>
    </row>
    <row r="769" spans="1:9" x14ac:dyDescent="0.3">
      <c r="A769" s="1">
        <v>43293</v>
      </c>
      <c r="B769" t="s">
        <v>7</v>
      </c>
      <c r="C769" t="s">
        <v>11</v>
      </c>
      <c r="D769">
        <v>5</v>
      </c>
      <c r="E769">
        <v>80</v>
      </c>
      <c r="F769">
        <v>0.04</v>
      </c>
      <c r="G769" t="s">
        <v>14</v>
      </c>
      <c r="H769">
        <v>400</v>
      </c>
      <c r="I769">
        <f>(Table1_1[[#This Row],[Total sales]]*Table1_1[[#This Row],[Commission]])+Table1_1[[#This Row],[Total sales]]</f>
        <v>416</v>
      </c>
    </row>
    <row r="770" spans="1:9" x14ac:dyDescent="0.3">
      <c r="A770" s="1">
        <v>43293</v>
      </c>
      <c r="B770" t="s">
        <v>20</v>
      </c>
      <c r="C770" t="s">
        <v>16</v>
      </c>
      <c r="D770">
        <v>11</v>
      </c>
      <c r="E770">
        <v>16</v>
      </c>
      <c r="F770">
        <v>0.04</v>
      </c>
      <c r="G770" t="s">
        <v>25</v>
      </c>
      <c r="H770">
        <v>176</v>
      </c>
      <c r="I770">
        <f>(Table1_1[[#This Row],[Total sales]]*Table1_1[[#This Row],[Commission]])+Table1_1[[#This Row],[Total sales]]</f>
        <v>183.04</v>
      </c>
    </row>
    <row r="771" spans="1:9" x14ac:dyDescent="0.3">
      <c r="A771" s="1">
        <v>43293</v>
      </c>
      <c r="B771" t="s">
        <v>23</v>
      </c>
      <c r="C771" t="s">
        <v>8</v>
      </c>
      <c r="D771">
        <v>17</v>
      </c>
      <c r="E771">
        <v>150</v>
      </c>
      <c r="F771">
        <v>0.12</v>
      </c>
      <c r="G771" t="s">
        <v>14</v>
      </c>
      <c r="H771">
        <v>2550</v>
      </c>
      <c r="I771">
        <f>(Table1_1[[#This Row],[Total sales]]*Table1_1[[#This Row],[Commission]])+Table1_1[[#This Row],[Total sales]]</f>
        <v>2856</v>
      </c>
    </row>
    <row r="772" spans="1:9" x14ac:dyDescent="0.3">
      <c r="A772" s="1">
        <v>43293</v>
      </c>
      <c r="B772" t="s">
        <v>13</v>
      </c>
      <c r="C772" t="s">
        <v>11</v>
      </c>
      <c r="D772">
        <v>19</v>
      </c>
      <c r="E772">
        <v>230</v>
      </c>
      <c r="F772">
        <v>0.11</v>
      </c>
      <c r="G772" t="s">
        <v>25</v>
      </c>
      <c r="H772">
        <v>4370</v>
      </c>
      <c r="I772">
        <f>(Table1_1[[#This Row],[Total sales]]*Table1_1[[#This Row],[Commission]])+Table1_1[[#This Row],[Total sales]]</f>
        <v>4850.7</v>
      </c>
    </row>
    <row r="773" spans="1:9" x14ac:dyDescent="0.3">
      <c r="A773" s="1">
        <v>43293</v>
      </c>
      <c r="B773" t="s">
        <v>7</v>
      </c>
      <c r="C773" t="s">
        <v>8</v>
      </c>
      <c r="D773">
        <v>21</v>
      </c>
      <c r="E773">
        <v>80</v>
      </c>
      <c r="F773">
        <v>0.04</v>
      </c>
      <c r="G773" t="s">
        <v>14</v>
      </c>
      <c r="H773">
        <v>1680</v>
      </c>
      <c r="I773">
        <f>(Table1_1[[#This Row],[Total sales]]*Table1_1[[#This Row],[Commission]])+Table1_1[[#This Row],[Total sales]]</f>
        <v>1747.2</v>
      </c>
    </row>
    <row r="774" spans="1:9" x14ac:dyDescent="0.3">
      <c r="A774" s="1">
        <v>43293</v>
      </c>
      <c r="B774" t="s">
        <v>13</v>
      </c>
      <c r="C774" t="s">
        <v>11</v>
      </c>
      <c r="D774">
        <v>7</v>
      </c>
      <c r="E774">
        <v>230</v>
      </c>
      <c r="F774">
        <v>0.01</v>
      </c>
      <c r="G774" t="s">
        <v>25</v>
      </c>
      <c r="H774">
        <v>1610</v>
      </c>
      <c r="I774">
        <f>(Table1_1[[#This Row],[Total sales]]*Table1_1[[#This Row],[Commission]])+Table1_1[[#This Row],[Total sales]]</f>
        <v>1626.1</v>
      </c>
    </row>
    <row r="775" spans="1:9" x14ac:dyDescent="0.3">
      <c r="A775" s="1">
        <v>43293</v>
      </c>
      <c r="B775" t="s">
        <v>10</v>
      </c>
      <c r="C775" t="s">
        <v>16</v>
      </c>
      <c r="D775">
        <v>2</v>
      </c>
      <c r="E775">
        <v>40</v>
      </c>
      <c r="F775">
        <v>0.03</v>
      </c>
      <c r="G775" t="s">
        <v>14</v>
      </c>
      <c r="H775">
        <v>80</v>
      </c>
      <c r="I775">
        <f>(Table1_1[[#This Row],[Total sales]]*Table1_1[[#This Row],[Commission]])+Table1_1[[#This Row],[Total sales]]</f>
        <v>82.4</v>
      </c>
    </row>
    <row r="776" spans="1:9" x14ac:dyDescent="0.3">
      <c r="A776" s="1">
        <v>43293</v>
      </c>
      <c r="B776" t="s">
        <v>23</v>
      </c>
      <c r="C776" t="s">
        <v>8</v>
      </c>
      <c r="D776">
        <v>7</v>
      </c>
      <c r="E776">
        <v>150</v>
      </c>
      <c r="F776">
        <v>0.02</v>
      </c>
      <c r="G776" t="s">
        <v>25</v>
      </c>
      <c r="H776">
        <v>1050</v>
      </c>
      <c r="I776">
        <f>(Table1_1[[#This Row],[Total sales]]*Table1_1[[#This Row],[Commission]])+Table1_1[[#This Row],[Total sales]]</f>
        <v>1071</v>
      </c>
    </row>
    <row r="777" spans="1:9" x14ac:dyDescent="0.3">
      <c r="A777" s="1">
        <v>43294</v>
      </c>
      <c r="B777" t="s">
        <v>7</v>
      </c>
      <c r="C777" t="s">
        <v>16</v>
      </c>
      <c r="D777">
        <v>16</v>
      </c>
      <c r="E777">
        <v>80</v>
      </c>
      <c r="F777">
        <v>0.04</v>
      </c>
      <c r="G777" t="s">
        <v>14</v>
      </c>
      <c r="H777">
        <v>1280</v>
      </c>
      <c r="I777">
        <f>(Table1_1[[#This Row],[Total sales]]*Table1_1[[#This Row],[Commission]])+Table1_1[[#This Row],[Total sales]]</f>
        <v>1331.2</v>
      </c>
    </row>
    <row r="778" spans="1:9" x14ac:dyDescent="0.3">
      <c r="A778" s="1">
        <v>43294</v>
      </c>
      <c r="B778" t="s">
        <v>10</v>
      </c>
      <c r="C778" t="s">
        <v>11</v>
      </c>
      <c r="D778">
        <v>4</v>
      </c>
      <c r="E778">
        <v>40</v>
      </c>
      <c r="F778">
        <v>0.12</v>
      </c>
      <c r="G778" t="s">
        <v>25</v>
      </c>
      <c r="H778">
        <v>160</v>
      </c>
      <c r="I778">
        <f>(Table1_1[[#This Row],[Total sales]]*Table1_1[[#This Row],[Commission]])+Table1_1[[#This Row],[Total sales]]</f>
        <v>179.2</v>
      </c>
    </row>
    <row r="779" spans="1:9" x14ac:dyDescent="0.3">
      <c r="A779" s="1">
        <v>43294</v>
      </c>
      <c r="B779" t="s">
        <v>20</v>
      </c>
      <c r="C779" t="s">
        <v>8</v>
      </c>
      <c r="D779">
        <v>22</v>
      </c>
      <c r="E779">
        <v>16</v>
      </c>
      <c r="F779">
        <v>0.01</v>
      </c>
      <c r="G779" t="s">
        <v>14</v>
      </c>
      <c r="H779">
        <v>352</v>
      </c>
      <c r="I779">
        <f>(Table1_1[[#This Row],[Total sales]]*Table1_1[[#This Row],[Commission]])+Table1_1[[#This Row],[Total sales]]</f>
        <v>355.52</v>
      </c>
    </row>
    <row r="780" spans="1:9" x14ac:dyDescent="0.3">
      <c r="A780" s="1">
        <v>43294</v>
      </c>
      <c r="B780" t="s">
        <v>10</v>
      </c>
      <c r="C780" t="s">
        <v>18</v>
      </c>
      <c r="D780">
        <v>18</v>
      </c>
      <c r="E780">
        <v>40</v>
      </c>
      <c r="F780">
        <v>0.06</v>
      </c>
      <c r="G780" t="s">
        <v>25</v>
      </c>
      <c r="H780">
        <v>720</v>
      </c>
      <c r="I780">
        <f>(Table1_1[[#This Row],[Total sales]]*Table1_1[[#This Row],[Commission]])+Table1_1[[#This Row],[Total sales]]</f>
        <v>763.2</v>
      </c>
    </row>
    <row r="781" spans="1:9" x14ac:dyDescent="0.3">
      <c r="A781" s="1">
        <v>43294</v>
      </c>
      <c r="B781" t="s">
        <v>7</v>
      </c>
      <c r="C781" t="s">
        <v>16</v>
      </c>
      <c r="D781">
        <v>6</v>
      </c>
      <c r="E781">
        <v>80</v>
      </c>
      <c r="F781">
        <v>0.01</v>
      </c>
      <c r="G781" t="s">
        <v>14</v>
      </c>
      <c r="H781">
        <v>480</v>
      </c>
      <c r="I781">
        <f>(Table1_1[[#This Row],[Total sales]]*Table1_1[[#This Row],[Commission]])+Table1_1[[#This Row],[Total sales]]</f>
        <v>484.8</v>
      </c>
    </row>
    <row r="782" spans="1:9" x14ac:dyDescent="0.3">
      <c r="A782" s="1">
        <v>43294</v>
      </c>
      <c r="B782" t="s">
        <v>13</v>
      </c>
      <c r="C782" t="s">
        <v>16</v>
      </c>
      <c r="D782">
        <v>2</v>
      </c>
      <c r="E782">
        <v>230</v>
      </c>
      <c r="F782">
        <v>0.09</v>
      </c>
      <c r="G782" t="s">
        <v>25</v>
      </c>
      <c r="H782">
        <v>460</v>
      </c>
      <c r="I782">
        <f>(Table1_1[[#This Row],[Total sales]]*Table1_1[[#This Row],[Commission]])+Table1_1[[#This Row],[Total sales]]</f>
        <v>501.4</v>
      </c>
    </row>
    <row r="783" spans="1:9" x14ac:dyDescent="0.3">
      <c r="A783" s="1">
        <v>43295</v>
      </c>
      <c r="B783" t="s">
        <v>23</v>
      </c>
      <c r="C783" t="s">
        <v>21</v>
      </c>
      <c r="D783">
        <v>11</v>
      </c>
      <c r="E783">
        <v>150</v>
      </c>
      <c r="F783">
        <v>0.09</v>
      </c>
      <c r="G783" t="s">
        <v>14</v>
      </c>
      <c r="H783">
        <v>1650</v>
      </c>
      <c r="I783">
        <f>(Table1_1[[#This Row],[Total sales]]*Table1_1[[#This Row],[Commission]])+Table1_1[[#This Row],[Total sales]]</f>
        <v>1798.5</v>
      </c>
    </row>
    <row r="784" spans="1:9" x14ac:dyDescent="0.3">
      <c r="A784" s="1">
        <v>43295</v>
      </c>
      <c r="B784" t="s">
        <v>23</v>
      </c>
      <c r="C784" t="s">
        <v>18</v>
      </c>
      <c r="D784">
        <v>15</v>
      </c>
      <c r="E784">
        <v>150</v>
      </c>
      <c r="F784">
        <v>0.08</v>
      </c>
      <c r="G784" t="s">
        <v>25</v>
      </c>
      <c r="H784">
        <v>2250</v>
      </c>
      <c r="I784">
        <f>(Table1_1[[#This Row],[Total sales]]*Table1_1[[#This Row],[Commission]])+Table1_1[[#This Row],[Total sales]]</f>
        <v>2430</v>
      </c>
    </row>
    <row r="785" spans="1:9" x14ac:dyDescent="0.3">
      <c r="A785" s="1">
        <v>43295</v>
      </c>
      <c r="B785" t="s">
        <v>7</v>
      </c>
      <c r="C785" t="s">
        <v>8</v>
      </c>
      <c r="D785">
        <v>17</v>
      </c>
      <c r="E785">
        <v>80</v>
      </c>
      <c r="F785">
        <v>0.09</v>
      </c>
      <c r="G785" t="s">
        <v>14</v>
      </c>
      <c r="H785">
        <v>1360</v>
      </c>
      <c r="I785">
        <f>(Table1_1[[#This Row],[Total sales]]*Table1_1[[#This Row],[Commission]])+Table1_1[[#This Row],[Total sales]]</f>
        <v>1482.4</v>
      </c>
    </row>
    <row r="786" spans="1:9" x14ac:dyDescent="0.3">
      <c r="A786" s="1">
        <v>43295</v>
      </c>
      <c r="B786" t="s">
        <v>23</v>
      </c>
      <c r="C786" t="s">
        <v>21</v>
      </c>
      <c r="D786">
        <v>13</v>
      </c>
      <c r="E786">
        <v>150</v>
      </c>
      <c r="F786">
        <v>0.11</v>
      </c>
      <c r="G786" t="s">
        <v>25</v>
      </c>
      <c r="H786">
        <v>1950</v>
      </c>
      <c r="I786">
        <f>(Table1_1[[#This Row],[Total sales]]*Table1_1[[#This Row],[Commission]])+Table1_1[[#This Row],[Total sales]]</f>
        <v>2164.5</v>
      </c>
    </row>
    <row r="787" spans="1:9" x14ac:dyDescent="0.3">
      <c r="A787" s="1">
        <v>43295</v>
      </c>
      <c r="B787" t="s">
        <v>10</v>
      </c>
      <c r="C787" t="s">
        <v>18</v>
      </c>
      <c r="D787">
        <v>7</v>
      </c>
      <c r="E787">
        <v>40</v>
      </c>
      <c r="F787">
        <v>7.0000000000000007E-2</v>
      </c>
      <c r="G787" t="s">
        <v>14</v>
      </c>
      <c r="H787">
        <v>280</v>
      </c>
      <c r="I787">
        <f>(Table1_1[[#This Row],[Total sales]]*Table1_1[[#This Row],[Commission]])+Table1_1[[#This Row],[Total sales]]</f>
        <v>299.60000000000002</v>
      </c>
    </row>
    <row r="788" spans="1:9" x14ac:dyDescent="0.3">
      <c r="A788" s="1">
        <v>43295</v>
      </c>
      <c r="B788" t="s">
        <v>13</v>
      </c>
      <c r="C788" t="s">
        <v>18</v>
      </c>
      <c r="D788">
        <v>3</v>
      </c>
      <c r="E788">
        <v>230</v>
      </c>
      <c r="F788">
        <v>0.01</v>
      </c>
      <c r="G788" t="s">
        <v>25</v>
      </c>
      <c r="H788">
        <v>690</v>
      </c>
      <c r="I788">
        <f>(Table1_1[[#This Row],[Total sales]]*Table1_1[[#This Row],[Commission]])+Table1_1[[#This Row],[Total sales]]</f>
        <v>696.9</v>
      </c>
    </row>
    <row r="789" spans="1:9" x14ac:dyDescent="0.3">
      <c r="A789" s="1">
        <v>43295</v>
      </c>
      <c r="B789" t="s">
        <v>10</v>
      </c>
      <c r="C789" t="s">
        <v>16</v>
      </c>
      <c r="D789">
        <v>12</v>
      </c>
      <c r="E789">
        <v>40</v>
      </c>
      <c r="F789">
        <v>0.02</v>
      </c>
      <c r="G789" t="s">
        <v>14</v>
      </c>
      <c r="H789">
        <v>480</v>
      </c>
      <c r="I789">
        <f>(Table1_1[[#This Row],[Total sales]]*Table1_1[[#This Row],[Commission]])+Table1_1[[#This Row],[Total sales]]</f>
        <v>489.6</v>
      </c>
    </row>
    <row r="790" spans="1:9" x14ac:dyDescent="0.3">
      <c r="A790" s="1">
        <v>43295</v>
      </c>
      <c r="B790" t="s">
        <v>23</v>
      </c>
      <c r="C790" t="s">
        <v>16</v>
      </c>
      <c r="D790">
        <v>11</v>
      </c>
      <c r="E790">
        <v>150</v>
      </c>
      <c r="F790">
        <v>0.11</v>
      </c>
      <c r="G790" t="s">
        <v>25</v>
      </c>
      <c r="H790">
        <v>1650</v>
      </c>
      <c r="I790">
        <f>(Table1_1[[#This Row],[Total sales]]*Table1_1[[#This Row],[Commission]])+Table1_1[[#This Row],[Total sales]]</f>
        <v>1831.5</v>
      </c>
    </row>
    <row r="791" spans="1:9" x14ac:dyDescent="0.3">
      <c r="A791" s="1">
        <v>43295</v>
      </c>
      <c r="B791" t="s">
        <v>10</v>
      </c>
      <c r="C791" t="s">
        <v>11</v>
      </c>
      <c r="D791">
        <v>21</v>
      </c>
      <c r="E791">
        <v>40</v>
      </c>
      <c r="F791">
        <v>0.03</v>
      </c>
      <c r="G791" t="s">
        <v>14</v>
      </c>
      <c r="H791">
        <v>840</v>
      </c>
      <c r="I791">
        <f>(Table1_1[[#This Row],[Total sales]]*Table1_1[[#This Row],[Commission]])+Table1_1[[#This Row],[Total sales]]</f>
        <v>865.2</v>
      </c>
    </row>
    <row r="792" spans="1:9" x14ac:dyDescent="0.3">
      <c r="A792" s="1">
        <v>43295</v>
      </c>
      <c r="B792" t="s">
        <v>23</v>
      </c>
      <c r="C792" t="s">
        <v>8</v>
      </c>
      <c r="D792">
        <v>22</v>
      </c>
      <c r="E792">
        <v>150</v>
      </c>
      <c r="F792">
        <v>7.0000000000000007E-2</v>
      </c>
      <c r="G792" t="s">
        <v>25</v>
      </c>
      <c r="H792">
        <v>3300</v>
      </c>
      <c r="I792">
        <f>(Table1_1[[#This Row],[Total sales]]*Table1_1[[#This Row],[Commission]])+Table1_1[[#This Row],[Total sales]]</f>
        <v>3531</v>
      </c>
    </row>
    <row r="793" spans="1:9" x14ac:dyDescent="0.3">
      <c r="A793" s="1">
        <v>43295</v>
      </c>
      <c r="B793" t="s">
        <v>10</v>
      </c>
      <c r="C793" t="s">
        <v>16</v>
      </c>
      <c r="D793">
        <v>20</v>
      </c>
      <c r="E793">
        <v>40</v>
      </c>
      <c r="F793">
        <v>0.01</v>
      </c>
      <c r="G793" t="s">
        <v>14</v>
      </c>
      <c r="H793">
        <v>800</v>
      </c>
      <c r="I793">
        <f>(Table1_1[[#This Row],[Total sales]]*Table1_1[[#This Row],[Commission]])+Table1_1[[#This Row],[Total sales]]</f>
        <v>808</v>
      </c>
    </row>
    <row r="794" spans="1:9" x14ac:dyDescent="0.3">
      <c r="A794" s="1">
        <v>43296</v>
      </c>
      <c r="B794" t="s">
        <v>20</v>
      </c>
      <c r="C794" t="s">
        <v>21</v>
      </c>
      <c r="D794">
        <v>22</v>
      </c>
      <c r="E794">
        <v>16</v>
      </c>
      <c r="F794">
        <v>0.12</v>
      </c>
      <c r="G794" t="s">
        <v>25</v>
      </c>
      <c r="H794">
        <v>352</v>
      </c>
      <c r="I794">
        <f>(Table1_1[[#This Row],[Total sales]]*Table1_1[[#This Row],[Commission]])+Table1_1[[#This Row],[Total sales]]</f>
        <v>394.24</v>
      </c>
    </row>
    <row r="795" spans="1:9" x14ac:dyDescent="0.3">
      <c r="A795" s="1">
        <v>43296</v>
      </c>
      <c r="B795" t="s">
        <v>10</v>
      </c>
      <c r="C795" t="s">
        <v>16</v>
      </c>
      <c r="D795">
        <v>4</v>
      </c>
      <c r="E795">
        <v>40</v>
      </c>
      <c r="F795">
        <v>0.1</v>
      </c>
      <c r="G795" t="s">
        <v>14</v>
      </c>
      <c r="H795">
        <v>160</v>
      </c>
      <c r="I795">
        <f>(Table1_1[[#This Row],[Total sales]]*Table1_1[[#This Row],[Commission]])+Table1_1[[#This Row],[Total sales]]</f>
        <v>176</v>
      </c>
    </row>
    <row r="796" spans="1:9" x14ac:dyDescent="0.3">
      <c r="A796" s="1">
        <v>43296</v>
      </c>
      <c r="B796" t="s">
        <v>13</v>
      </c>
      <c r="C796" t="s">
        <v>18</v>
      </c>
      <c r="D796">
        <v>2</v>
      </c>
      <c r="E796">
        <v>230</v>
      </c>
      <c r="F796">
        <v>0.09</v>
      </c>
      <c r="G796" t="s">
        <v>25</v>
      </c>
      <c r="H796">
        <v>460</v>
      </c>
      <c r="I796">
        <f>(Table1_1[[#This Row],[Total sales]]*Table1_1[[#This Row],[Commission]])+Table1_1[[#This Row],[Total sales]]</f>
        <v>501.4</v>
      </c>
    </row>
    <row r="797" spans="1:9" x14ac:dyDescent="0.3">
      <c r="A797" s="1">
        <v>43296</v>
      </c>
      <c r="B797" t="s">
        <v>10</v>
      </c>
      <c r="C797" t="s">
        <v>8</v>
      </c>
      <c r="D797">
        <v>22</v>
      </c>
      <c r="E797">
        <v>40</v>
      </c>
      <c r="F797">
        <v>0.02</v>
      </c>
      <c r="G797" t="s">
        <v>14</v>
      </c>
      <c r="H797">
        <v>880</v>
      </c>
      <c r="I797">
        <f>(Table1_1[[#This Row],[Total sales]]*Table1_1[[#This Row],[Commission]])+Table1_1[[#This Row],[Total sales]]</f>
        <v>897.6</v>
      </c>
    </row>
    <row r="798" spans="1:9" x14ac:dyDescent="0.3">
      <c r="A798" s="1">
        <v>43296</v>
      </c>
      <c r="B798" t="s">
        <v>10</v>
      </c>
      <c r="C798" t="s">
        <v>11</v>
      </c>
      <c r="D798">
        <v>4</v>
      </c>
      <c r="E798">
        <v>40</v>
      </c>
      <c r="F798">
        <v>0.03</v>
      </c>
      <c r="G798" t="s">
        <v>25</v>
      </c>
      <c r="H798">
        <v>160</v>
      </c>
      <c r="I798">
        <f>(Table1_1[[#This Row],[Total sales]]*Table1_1[[#This Row],[Commission]])+Table1_1[[#This Row],[Total sales]]</f>
        <v>164.8</v>
      </c>
    </row>
    <row r="799" spans="1:9" x14ac:dyDescent="0.3">
      <c r="A799" s="1">
        <v>43296</v>
      </c>
      <c r="B799" t="s">
        <v>20</v>
      </c>
      <c r="C799" t="s">
        <v>11</v>
      </c>
      <c r="D799">
        <v>5</v>
      </c>
      <c r="E799">
        <v>16</v>
      </c>
      <c r="F799">
        <v>0.11</v>
      </c>
      <c r="G799" t="s">
        <v>14</v>
      </c>
      <c r="H799">
        <v>80</v>
      </c>
      <c r="I799">
        <f>(Table1_1[[#This Row],[Total sales]]*Table1_1[[#This Row],[Commission]])+Table1_1[[#This Row],[Total sales]]</f>
        <v>88.8</v>
      </c>
    </row>
    <row r="800" spans="1:9" x14ac:dyDescent="0.3">
      <c r="A800" s="1">
        <v>43296</v>
      </c>
      <c r="B800" t="s">
        <v>7</v>
      </c>
      <c r="C800" t="s">
        <v>18</v>
      </c>
      <c r="D800">
        <v>2</v>
      </c>
      <c r="E800">
        <v>80</v>
      </c>
      <c r="F800">
        <v>0.08</v>
      </c>
      <c r="G800" t="s">
        <v>25</v>
      </c>
      <c r="H800">
        <v>160</v>
      </c>
      <c r="I800">
        <f>(Table1_1[[#This Row],[Total sales]]*Table1_1[[#This Row],[Commission]])+Table1_1[[#This Row],[Total sales]]</f>
        <v>172.8</v>
      </c>
    </row>
    <row r="801" spans="1:9" x14ac:dyDescent="0.3">
      <c r="A801" s="1">
        <v>43296</v>
      </c>
      <c r="B801" t="s">
        <v>20</v>
      </c>
      <c r="C801" t="s">
        <v>16</v>
      </c>
      <c r="D801">
        <v>9</v>
      </c>
      <c r="E801">
        <v>16</v>
      </c>
      <c r="F801">
        <v>0.05</v>
      </c>
      <c r="G801" t="s">
        <v>14</v>
      </c>
      <c r="H801">
        <v>144</v>
      </c>
      <c r="I801">
        <f>(Table1_1[[#This Row],[Total sales]]*Table1_1[[#This Row],[Commission]])+Table1_1[[#This Row],[Total sales]]</f>
        <v>151.19999999999999</v>
      </c>
    </row>
    <row r="802" spans="1:9" x14ac:dyDescent="0.3">
      <c r="A802" s="1">
        <v>43296</v>
      </c>
      <c r="B802" t="s">
        <v>13</v>
      </c>
      <c r="C802" t="s">
        <v>16</v>
      </c>
      <c r="D802">
        <v>6</v>
      </c>
      <c r="E802">
        <v>230</v>
      </c>
      <c r="F802">
        <v>0.05</v>
      </c>
      <c r="G802" t="s">
        <v>25</v>
      </c>
      <c r="H802">
        <v>1380</v>
      </c>
      <c r="I802">
        <f>(Table1_1[[#This Row],[Total sales]]*Table1_1[[#This Row],[Commission]])+Table1_1[[#This Row],[Total sales]]</f>
        <v>1449</v>
      </c>
    </row>
    <row r="803" spans="1:9" x14ac:dyDescent="0.3">
      <c r="A803" s="1">
        <v>43296</v>
      </c>
      <c r="B803" t="s">
        <v>23</v>
      </c>
      <c r="C803" t="s">
        <v>18</v>
      </c>
      <c r="D803">
        <v>22</v>
      </c>
      <c r="E803">
        <v>150</v>
      </c>
      <c r="F803">
        <v>0.05</v>
      </c>
      <c r="G803" t="s">
        <v>14</v>
      </c>
      <c r="H803">
        <v>3300</v>
      </c>
      <c r="I803">
        <f>(Table1_1[[#This Row],[Total sales]]*Table1_1[[#This Row],[Commission]])+Table1_1[[#This Row],[Total sales]]</f>
        <v>3465</v>
      </c>
    </row>
    <row r="804" spans="1:9" x14ac:dyDescent="0.3">
      <c r="A804" s="1">
        <v>43297</v>
      </c>
      <c r="B804" t="s">
        <v>13</v>
      </c>
      <c r="C804" t="s">
        <v>18</v>
      </c>
      <c r="D804">
        <v>8</v>
      </c>
      <c r="E804">
        <v>230</v>
      </c>
      <c r="F804">
        <v>0.01</v>
      </c>
      <c r="G804" t="s">
        <v>25</v>
      </c>
      <c r="H804">
        <v>1840</v>
      </c>
      <c r="I804">
        <f>(Table1_1[[#This Row],[Total sales]]*Table1_1[[#This Row],[Commission]])+Table1_1[[#This Row],[Total sales]]</f>
        <v>1858.4</v>
      </c>
    </row>
    <row r="805" spans="1:9" x14ac:dyDescent="0.3">
      <c r="A805" s="1">
        <v>43297</v>
      </c>
      <c r="B805" t="s">
        <v>23</v>
      </c>
      <c r="C805" t="s">
        <v>8</v>
      </c>
      <c r="D805">
        <v>22</v>
      </c>
      <c r="E805">
        <v>150</v>
      </c>
      <c r="F805">
        <v>0.05</v>
      </c>
      <c r="G805" t="s">
        <v>14</v>
      </c>
      <c r="H805">
        <v>3300</v>
      </c>
      <c r="I805">
        <f>(Table1_1[[#This Row],[Total sales]]*Table1_1[[#This Row],[Commission]])+Table1_1[[#This Row],[Total sales]]</f>
        <v>3465</v>
      </c>
    </row>
    <row r="806" spans="1:9" x14ac:dyDescent="0.3">
      <c r="A806" s="1">
        <v>43297</v>
      </c>
      <c r="B806" t="s">
        <v>10</v>
      </c>
      <c r="C806" t="s">
        <v>8</v>
      </c>
      <c r="D806">
        <v>5</v>
      </c>
      <c r="E806">
        <v>40</v>
      </c>
      <c r="F806">
        <v>0.06</v>
      </c>
      <c r="G806" t="s">
        <v>25</v>
      </c>
      <c r="H806">
        <v>200</v>
      </c>
      <c r="I806">
        <f>(Table1_1[[#This Row],[Total sales]]*Table1_1[[#This Row],[Commission]])+Table1_1[[#This Row],[Total sales]]</f>
        <v>212</v>
      </c>
    </row>
    <row r="807" spans="1:9" x14ac:dyDescent="0.3">
      <c r="A807" s="1">
        <v>43297</v>
      </c>
      <c r="B807" t="s">
        <v>23</v>
      </c>
      <c r="C807" t="s">
        <v>18</v>
      </c>
      <c r="D807">
        <v>20</v>
      </c>
      <c r="E807">
        <v>150</v>
      </c>
      <c r="F807">
        <v>0.1</v>
      </c>
      <c r="G807" t="s">
        <v>14</v>
      </c>
      <c r="H807">
        <v>3000</v>
      </c>
      <c r="I807">
        <f>(Table1_1[[#This Row],[Total sales]]*Table1_1[[#This Row],[Commission]])+Table1_1[[#This Row],[Total sales]]</f>
        <v>3300</v>
      </c>
    </row>
    <row r="808" spans="1:9" x14ac:dyDescent="0.3">
      <c r="A808" s="1">
        <v>43297</v>
      </c>
      <c r="B808" t="s">
        <v>7</v>
      </c>
      <c r="C808" t="s">
        <v>18</v>
      </c>
      <c r="D808">
        <v>22</v>
      </c>
      <c r="E808">
        <v>80</v>
      </c>
      <c r="F808">
        <v>0.03</v>
      </c>
      <c r="G808" t="s">
        <v>25</v>
      </c>
      <c r="H808">
        <v>1760</v>
      </c>
      <c r="I808">
        <f>(Table1_1[[#This Row],[Total sales]]*Table1_1[[#This Row],[Commission]])+Table1_1[[#This Row],[Total sales]]</f>
        <v>1812.8</v>
      </c>
    </row>
    <row r="809" spans="1:9" x14ac:dyDescent="0.3">
      <c r="A809" s="1">
        <v>43297</v>
      </c>
      <c r="B809" t="s">
        <v>20</v>
      </c>
      <c r="C809" t="s">
        <v>8</v>
      </c>
      <c r="D809">
        <v>11</v>
      </c>
      <c r="E809">
        <v>16</v>
      </c>
      <c r="F809">
        <v>0.09</v>
      </c>
      <c r="G809" t="s">
        <v>14</v>
      </c>
      <c r="H809">
        <v>176</v>
      </c>
      <c r="I809">
        <f>(Table1_1[[#This Row],[Total sales]]*Table1_1[[#This Row],[Commission]])+Table1_1[[#This Row],[Total sales]]</f>
        <v>191.84</v>
      </c>
    </row>
    <row r="810" spans="1:9" x14ac:dyDescent="0.3">
      <c r="A810" s="1">
        <v>43297</v>
      </c>
      <c r="B810" t="s">
        <v>20</v>
      </c>
      <c r="C810" t="s">
        <v>11</v>
      </c>
      <c r="D810">
        <v>22</v>
      </c>
      <c r="E810">
        <v>16</v>
      </c>
      <c r="F810">
        <v>0.01</v>
      </c>
      <c r="G810" t="s">
        <v>25</v>
      </c>
      <c r="H810">
        <v>352</v>
      </c>
      <c r="I810">
        <f>(Table1_1[[#This Row],[Total sales]]*Table1_1[[#This Row],[Commission]])+Table1_1[[#This Row],[Total sales]]</f>
        <v>355.52</v>
      </c>
    </row>
    <row r="811" spans="1:9" x14ac:dyDescent="0.3">
      <c r="A811" s="1">
        <v>43297</v>
      </c>
      <c r="B811" t="s">
        <v>10</v>
      </c>
      <c r="C811" t="s">
        <v>11</v>
      </c>
      <c r="D811">
        <v>23</v>
      </c>
      <c r="E811">
        <v>40</v>
      </c>
      <c r="F811">
        <v>0.06</v>
      </c>
      <c r="G811" t="s">
        <v>14</v>
      </c>
      <c r="H811">
        <v>920</v>
      </c>
      <c r="I811">
        <f>(Table1_1[[#This Row],[Total sales]]*Table1_1[[#This Row],[Commission]])+Table1_1[[#This Row],[Total sales]]</f>
        <v>975.2</v>
      </c>
    </row>
    <row r="812" spans="1:9" x14ac:dyDescent="0.3">
      <c r="A812" s="1">
        <v>43297</v>
      </c>
      <c r="B812" t="s">
        <v>7</v>
      </c>
      <c r="C812" t="s">
        <v>16</v>
      </c>
      <c r="D812">
        <v>14</v>
      </c>
      <c r="E812">
        <v>80</v>
      </c>
      <c r="F812">
        <v>0.1</v>
      </c>
      <c r="G812" t="s">
        <v>25</v>
      </c>
      <c r="H812">
        <v>1120</v>
      </c>
      <c r="I812">
        <f>(Table1_1[[#This Row],[Total sales]]*Table1_1[[#This Row],[Commission]])+Table1_1[[#This Row],[Total sales]]</f>
        <v>1232</v>
      </c>
    </row>
    <row r="813" spans="1:9" x14ac:dyDescent="0.3">
      <c r="A813" s="1">
        <v>43297</v>
      </c>
      <c r="B813" t="s">
        <v>10</v>
      </c>
      <c r="C813" t="s">
        <v>8</v>
      </c>
      <c r="D813">
        <v>18</v>
      </c>
      <c r="E813">
        <v>40</v>
      </c>
      <c r="F813">
        <v>0.06</v>
      </c>
      <c r="G813" t="s">
        <v>14</v>
      </c>
      <c r="H813">
        <v>720</v>
      </c>
      <c r="I813">
        <f>(Table1_1[[#This Row],[Total sales]]*Table1_1[[#This Row],[Commission]])+Table1_1[[#This Row],[Total sales]]</f>
        <v>763.2</v>
      </c>
    </row>
    <row r="814" spans="1:9" x14ac:dyDescent="0.3">
      <c r="A814" s="1">
        <v>43298</v>
      </c>
      <c r="B814" t="s">
        <v>23</v>
      </c>
      <c r="C814" t="s">
        <v>18</v>
      </c>
      <c r="D814">
        <v>7</v>
      </c>
      <c r="E814">
        <v>150</v>
      </c>
      <c r="F814">
        <v>0.05</v>
      </c>
      <c r="G814" t="s">
        <v>12</v>
      </c>
      <c r="H814">
        <v>1050</v>
      </c>
      <c r="I814">
        <f>(Table1_1[[#This Row],[Total sales]]*Table1_1[[#This Row],[Commission]])+Table1_1[[#This Row],[Total sales]]</f>
        <v>1102.5</v>
      </c>
    </row>
    <row r="815" spans="1:9" x14ac:dyDescent="0.3">
      <c r="A815" s="1">
        <v>43298</v>
      </c>
      <c r="B815" t="s">
        <v>10</v>
      </c>
      <c r="C815" t="s">
        <v>18</v>
      </c>
      <c r="D815">
        <v>15</v>
      </c>
      <c r="E815">
        <v>40</v>
      </c>
      <c r="F815">
        <v>0.03</v>
      </c>
      <c r="G815" t="s">
        <v>14</v>
      </c>
      <c r="H815">
        <v>600</v>
      </c>
      <c r="I815">
        <f>(Table1_1[[#This Row],[Total sales]]*Table1_1[[#This Row],[Commission]])+Table1_1[[#This Row],[Total sales]]</f>
        <v>618</v>
      </c>
    </row>
    <row r="816" spans="1:9" x14ac:dyDescent="0.3">
      <c r="A816" s="1">
        <v>43298</v>
      </c>
      <c r="B816" t="s">
        <v>20</v>
      </c>
      <c r="C816" t="s">
        <v>8</v>
      </c>
      <c r="D816">
        <v>7</v>
      </c>
      <c r="E816">
        <v>16</v>
      </c>
      <c r="F816">
        <v>0.02</v>
      </c>
      <c r="G816" t="s">
        <v>15</v>
      </c>
      <c r="H816">
        <v>112</v>
      </c>
      <c r="I816">
        <f>(Table1_1[[#This Row],[Total sales]]*Table1_1[[#This Row],[Commission]])+Table1_1[[#This Row],[Total sales]]</f>
        <v>114.24</v>
      </c>
    </row>
    <row r="817" spans="1:9" x14ac:dyDescent="0.3">
      <c r="A817" s="1">
        <v>43298</v>
      </c>
      <c r="B817" t="s">
        <v>20</v>
      </c>
      <c r="C817" t="s">
        <v>18</v>
      </c>
      <c r="D817">
        <v>15</v>
      </c>
      <c r="E817">
        <v>16</v>
      </c>
      <c r="F817">
        <v>0.12</v>
      </c>
      <c r="G817" t="s">
        <v>17</v>
      </c>
      <c r="H817">
        <v>240</v>
      </c>
      <c r="I817">
        <f>(Table1_1[[#This Row],[Total sales]]*Table1_1[[#This Row],[Commission]])+Table1_1[[#This Row],[Total sales]]</f>
        <v>268.8</v>
      </c>
    </row>
    <row r="818" spans="1:9" x14ac:dyDescent="0.3">
      <c r="A818" s="1">
        <v>43298</v>
      </c>
      <c r="B818" t="s">
        <v>10</v>
      </c>
      <c r="C818" t="s">
        <v>8</v>
      </c>
      <c r="D818">
        <v>5</v>
      </c>
      <c r="E818">
        <v>40</v>
      </c>
      <c r="F818">
        <v>0.09</v>
      </c>
      <c r="G818" t="s">
        <v>19</v>
      </c>
      <c r="H818">
        <v>200</v>
      </c>
      <c r="I818">
        <f>(Table1_1[[#This Row],[Total sales]]*Table1_1[[#This Row],[Commission]])+Table1_1[[#This Row],[Total sales]]</f>
        <v>218</v>
      </c>
    </row>
    <row r="819" spans="1:9" x14ac:dyDescent="0.3">
      <c r="A819" s="1">
        <v>43298</v>
      </c>
      <c r="B819" t="s">
        <v>10</v>
      </c>
      <c r="C819" t="s">
        <v>21</v>
      </c>
      <c r="D819">
        <v>20</v>
      </c>
      <c r="E819">
        <v>40</v>
      </c>
      <c r="F819">
        <v>0.03</v>
      </c>
      <c r="G819" t="s">
        <v>22</v>
      </c>
      <c r="H819">
        <v>800</v>
      </c>
      <c r="I819">
        <f>(Table1_1[[#This Row],[Total sales]]*Table1_1[[#This Row],[Commission]])+Table1_1[[#This Row],[Total sales]]</f>
        <v>824</v>
      </c>
    </row>
    <row r="820" spans="1:9" x14ac:dyDescent="0.3">
      <c r="A820" s="1">
        <v>43298</v>
      </c>
      <c r="B820" t="s">
        <v>13</v>
      </c>
      <c r="C820" t="s">
        <v>18</v>
      </c>
      <c r="D820">
        <v>11</v>
      </c>
      <c r="E820">
        <v>230</v>
      </c>
      <c r="F820">
        <v>0.12</v>
      </c>
      <c r="G820" t="s">
        <v>24</v>
      </c>
      <c r="H820">
        <v>2530</v>
      </c>
      <c r="I820">
        <f>(Table1_1[[#This Row],[Total sales]]*Table1_1[[#This Row],[Commission]])+Table1_1[[#This Row],[Total sales]]</f>
        <v>2833.6</v>
      </c>
    </row>
    <row r="821" spans="1:9" x14ac:dyDescent="0.3">
      <c r="A821" s="1">
        <v>43298</v>
      </c>
      <c r="B821" t="s">
        <v>20</v>
      </c>
      <c r="C821" t="s">
        <v>21</v>
      </c>
      <c r="D821">
        <v>17</v>
      </c>
      <c r="E821">
        <v>16</v>
      </c>
      <c r="F821">
        <v>0.08</v>
      </c>
      <c r="G821" t="s">
        <v>25</v>
      </c>
      <c r="H821">
        <v>272</v>
      </c>
      <c r="I821">
        <f>(Table1_1[[#This Row],[Total sales]]*Table1_1[[#This Row],[Commission]])+Table1_1[[#This Row],[Total sales]]</f>
        <v>293.76</v>
      </c>
    </row>
    <row r="822" spans="1:9" x14ac:dyDescent="0.3">
      <c r="A822" s="1">
        <v>43299</v>
      </c>
      <c r="B822" t="s">
        <v>20</v>
      </c>
      <c r="C822" t="s">
        <v>8</v>
      </c>
      <c r="D822">
        <v>18</v>
      </c>
      <c r="E822">
        <v>16</v>
      </c>
      <c r="F822">
        <v>0.11</v>
      </c>
      <c r="G822" t="s">
        <v>26</v>
      </c>
      <c r="H822">
        <v>288</v>
      </c>
      <c r="I822">
        <f>(Table1_1[[#This Row],[Total sales]]*Table1_1[[#This Row],[Commission]])+Table1_1[[#This Row],[Total sales]]</f>
        <v>319.68</v>
      </c>
    </row>
    <row r="823" spans="1:9" x14ac:dyDescent="0.3">
      <c r="A823" s="1">
        <v>43299</v>
      </c>
      <c r="B823" t="s">
        <v>13</v>
      </c>
      <c r="C823" t="s">
        <v>18</v>
      </c>
      <c r="D823">
        <v>2</v>
      </c>
      <c r="E823">
        <v>230</v>
      </c>
      <c r="F823">
        <v>0.08</v>
      </c>
      <c r="G823" t="s">
        <v>27</v>
      </c>
      <c r="H823">
        <v>460</v>
      </c>
      <c r="I823">
        <f>(Table1_1[[#This Row],[Total sales]]*Table1_1[[#This Row],[Commission]])+Table1_1[[#This Row],[Total sales]]</f>
        <v>496.8</v>
      </c>
    </row>
    <row r="824" spans="1:9" x14ac:dyDescent="0.3">
      <c r="A824" s="1">
        <v>43299</v>
      </c>
      <c r="B824" t="s">
        <v>20</v>
      </c>
      <c r="C824" t="s">
        <v>16</v>
      </c>
      <c r="D824">
        <v>17</v>
      </c>
      <c r="E824">
        <v>16</v>
      </c>
      <c r="F824">
        <v>0.05</v>
      </c>
      <c r="G824" t="s">
        <v>28</v>
      </c>
      <c r="H824">
        <v>272</v>
      </c>
      <c r="I824">
        <f>(Table1_1[[#This Row],[Total sales]]*Table1_1[[#This Row],[Commission]])+Table1_1[[#This Row],[Total sales]]</f>
        <v>285.60000000000002</v>
      </c>
    </row>
    <row r="825" spans="1:9" x14ac:dyDescent="0.3">
      <c r="A825" s="1">
        <v>43299</v>
      </c>
      <c r="B825" t="s">
        <v>7</v>
      </c>
      <c r="C825" t="s">
        <v>18</v>
      </c>
      <c r="D825">
        <v>16</v>
      </c>
      <c r="E825">
        <v>80</v>
      </c>
      <c r="F825">
        <v>0.05</v>
      </c>
      <c r="G825" t="s">
        <v>9</v>
      </c>
      <c r="H825">
        <v>1280</v>
      </c>
      <c r="I825">
        <f>(Table1_1[[#This Row],[Total sales]]*Table1_1[[#This Row],[Commission]])+Table1_1[[#This Row],[Total sales]]</f>
        <v>1344</v>
      </c>
    </row>
    <row r="826" spans="1:9" x14ac:dyDescent="0.3">
      <c r="A826" s="1">
        <v>43299</v>
      </c>
      <c r="B826" t="s">
        <v>13</v>
      </c>
      <c r="C826" t="s">
        <v>11</v>
      </c>
      <c r="D826">
        <v>14</v>
      </c>
      <c r="E826">
        <v>230</v>
      </c>
      <c r="F826">
        <v>0.05</v>
      </c>
      <c r="G826" t="s">
        <v>12</v>
      </c>
      <c r="H826">
        <v>3220</v>
      </c>
      <c r="I826">
        <f>(Table1_1[[#This Row],[Total sales]]*Table1_1[[#This Row],[Commission]])+Table1_1[[#This Row],[Total sales]]</f>
        <v>3381</v>
      </c>
    </row>
    <row r="827" spans="1:9" x14ac:dyDescent="0.3">
      <c r="A827" s="1">
        <v>43299</v>
      </c>
      <c r="B827" t="s">
        <v>10</v>
      </c>
      <c r="C827" t="s">
        <v>16</v>
      </c>
      <c r="D827">
        <v>13</v>
      </c>
      <c r="E827">
        <v>40</v>
      </c>
      <c r="F827">
        <v>0.02</v>
      </c>
      <c r="G827" t="s">
        <v>14</v>
      </c>
      <c r="H827">
        <v>520</v>
      </c>
      <c r="I827">
        <f>(Table1_1[[#This Row],[Total sales]]*Table1_1[[#This Row],[Commission]])+Table1_1[[#This Row],[Total sales]]</f>
        <v>530.4</v>
      </c>
    </row>
    <row r="828" spans="1:9" x14ac:dyDescent="0.3">
      <c r="A828" s="1">
        <v>43299</v>
      </c>
      <c r="B828" t="s">
        <v>13</v>
      </c>
      <c r="C828" t="s">
        <v>11</v>
      </c>
      <c r="D828">
        <v>7</v>
      </c>
      <c r="E828">
        <v>230</v>
      </c>
      <c r="F828">
        <v>0.08</v>
      </c>
      <c r="G828" t="s">
        <v>15</v>
      </c>
      <c r="H828">
        <v>1610</v>
      </c>
      <c r="I828">
        <f>(Table1_1[[#This Row],[Total sales]]*Table1_1[[#This Row],[Commission]])+Table1_1[[#This Row],[Total sales]]</f>
        <v>1738.8</v>
      </c>
    </row>
    <row r="829" spans="1:9" x14ac:dyDescent="0.3">
      <c r="A829" s="1">
        <v>43299</v>
      </c>
      <c r="B829" t="s">
        <v>10</v>
      </c>
      <c r="C829" t="s">
        <v>18</v>
      </c>
      <c r="D829">
        <v>7</v>
      </c>
      <c r="E829">
        <v>40</v>
      </c>
      <c r="F829">
        <v>0.11</v>
      </c>
      <c r="G829" t="s">
        <v>17</v>
      </c>
      <c r="H829">
        <v>280</v>
      </c>
      <c r="I829">
        <f>(Table1_1[[#This Row],[Total sales]]*Table1_1[[#This Row],[Commission]])+Table1_1[[#This Row],[Total sales]]</f>
        <v>310.8</v>
      </c>
    </row>
    <row r="830" spans="1:9" x14ac:dyDescent="0.3">
      <c r="A830" s="1">
        <v>43299</v>
      </c>
      <c r="B830" t="s">
        <v>13</v>
      </c>
      <c r="C830" t="s">
        <v>16</v>
      </c>
      <c r="D830">
        <v>12</v>
      </c>
      <c r="E830">
        <v>230</v>
      </c>
      <c r="F830">
        <v>0.06</v>
      </c>
      <c r="G830" t="s">
        <v>19</v>
      </c>
      <c r="H830">
        <v>2760</v>
      </c>
      <c r="I830">
        <f>(Table1_1[[#This Row],[Total sales]]*Table1_1[[#This Row],[Commission]])+Table1_1[[#This Row],[Total sales]]</f>
        <v>2925.6</v>
      </c>
    </row>
    <row r="831" spans="1:9" x14ac:dyDescent="0.3">
      <c r="A831" s="1">
        <v>43299</v>
      </c>
      <c r="B831" t="s">
        <v>10</v>
      </c>
      <c r="C831" t="s">
        <v>8</v>
      </c>
      <c r="D831">
        <v>19</v>
      </c>
      <c r="E831">
        <v>40</v>
      </c>
      <c r="F831">
        <v>0.04</v>
      </c>
      <c r="G831" t="s">
        <v>12</v>
      </c>
      <c r="H831">
        <v>760</v>
      </c>
      <c r="I831">
        <f>(Table1_1[[#This Row],[Total sales]]*Table1_1[[#This Row],[Commission]])+Table1_1[[#This Row],[Total sales]]</f>
        <v>790.4</v>
      </c>
    </row>
    <row r="832" spans="1:9" x14ac:dyDescent="0.3">
      <c r="A832" s="1">
        <v>43300</v>
      </c>
      <c r="B832" t="s">
        <v>13</v>
      </c>
      <c r="C832" t="s">
        <v>16</v>
      </c>
      <c r="D832">
        <v>20</v>
      </c>
      <c r="E832">
        <v>230</v>
      </c>
      <c r="F832">
        <v>0.06</v>
      </c>
      <c r="G832" t="s">
        <v>14</v>
      </c>
      <c r="H832">
        <v>4600</v>
      </c>
      <c r="I832">
        <f>(Table1_1[[#This Row],[Total sales]]*Table1_1[[#This Row],[Commission]])+Table1_1[[#This Row],[Total sales]]</f>
        <v>4876</v>
      </c>
    </row>
    <row r="833" spans="1:9" x14ac:dyDescent="0.3">
      <c r="A833" s="1">
        <v>43300</v>
      </c>
      <c r="B833" t="s">
        <v>10</v>
      </c>
      <c r="C833" t="s">
        <v>21</v>
      </c>
      <c r="D833">
        <v>23</v>
      </c>
      <c r="E833">
        <v>40</v>
      </c>
      <c r="F833">
        <v>0.04</v>
      </c>
      <c r="G833" t="s">
        <v>15</v>
      </c>
      <c r="H833">
        <v>920</v>
      </c>
      <c r="I833">
        <f>(Table1_1[[#This Row],[Total sales]]*Table1_1[[#This Row],[Commission]])+Table1_1[[#This Row],[Total sales]]</f>
        <v>956.8</v>
      </c>
    </row>
    <row r="834" spans="1:9" x14ac:dyDescent="0.3">
      <c r="A834" s="1">
        <v>43300</v>
      </c>
      <c r="B834" t="s">
        <v>7</v>
      </c>
      <c r="C834" t="s">
        <v>21</v>
      </c>
      <c r="D834">
        <v>16</v>
      </c>
      <c r="E834">
        <v>80</v>
      </c>
      <c r="F834">
        <v>0.05</v>
      </c>
      <c r="G834" t="s">
        <v>17</v>
      </c>
      <c r="H834">
        <v>1280</v>
      </c>
      <c r="I834">
        <f>(Table1_1[[#This Row],[Total sales]]*Table1_1[[#This Row],[Commission]])+Table1_1[[#This Row],[Total sales]]</f>
        <v>1344</v>
      </c>
    </row>
    <row r="835" spans="1:9" x14ac:dyDescent="0.3">
      <c r="A835" s="1">
        <v>43300</v>
      </c>
      <c r="B835" t="s">
        <v>23</v>
      </c>
      <c r="C835" t="s">
        <v>11</v>
      </c>
      <c r="D835">
        <v>23</v>
      </c>
      <c r="E835">
        <v>150</v>
      </c>
      <c r="F835">
        <v>0.11</v>
      </c>
      <c r="G835" t="s">
        <v>19</v>
      </c>
      <c r="H835">
        <v>3450</v>
      </c>
      <c r="I835">
        <f>(Table1_1[[#This Row],[Total sales]]*Table1_1[[#This Row],[Commission]])+Table1_1[[#This Row],[Total sales]]</f>
        <v>3829.5</v>
      </c>
    </row>
    <row r="836" spans="1:9" x14ac:dyDescent="0.3">
      <c r="A836" s="1">
        <v>43300</v>
      </c>
      <c r="B836" t="s">
        <v>20</v>
      </c>
      <c r="C836" t="s">
        <v>11</v>
      </c>
      <c r="D836">
        <v>4</v>
      </c>
      <c r="E836">
        <v>16</v>
      </c>
      <c r="F836">
        <v>7.0000000000000007E-2</v>
      </c>
      <c r="G836" t="s">
        <v>22</v>
      </c>
      <c r="H836">
        <v>64</v>
      </c>
      <c r="I836">
        <f>(Table1_1[[#This Row],[Total sales]]*Table1_1[[#This Row],[Commission]])+Table1_1[[#This Row],[Total sales]]</f>
        <v>68.48</v>
      </c>
    </row>
    <row r="837" spans="1:9" x14ac:dyDescent="0.3">
      <c r="A837" s="1">
        <v>43300</v>
      </c>
      <c r="B837" t="s">
        <v>13</v>
      </c>
      <c r="C837" t="s">
        <v>8</v>
      </c>
      <c r="D837">
        <v>8</v>
      </c>
      <c r="E837">
        <v>230</v>
      </c>
      <c r="F837">
        <v>0.03</v>
      </c>
      <c r="G837" t="s">
        <v>24</v>
      </c>
      <c r="H837">
        <v>1840</v>
      </c>
      <c r="I837">
        <f>(Table1_1[[#This Row],[Total sales]]*Table1_1[[#This Row],[Commission]])+Table1_1[[#This Row],[Total sales]]</f>
        <v>1895.2</v>
      </c>
    </row>
    <row r="838" spans="1:9" x14ac:dyDescent="0.3">
      <c r="A838" s="1">
        <v>43300</v>
      </c>
      <c r="B838" t="s">
        <v>7</v>
      </c>
      <c r="C838" t="s">
        <v>11</v>
      </c>
      <c r="D838">
        <v>17</v>
      </c>
      <c r="E838">
        <v>80</v>
      </c>
      <c r="F838">
        <v>0.03</v>
      </c>
      <c r="G838" t="s">
        <v>25</v>
      </c>
      <c r="H838">
        <v>1360</v>
      </c>
      <c r="I838">
        <f>(Table1_1[[#This Row],[Total sales]]*Table1_1[[#This Row],[Commission]])+Table1_1[[#This Row],[Total sales]]</f>
        <v>1400.8</v>
      </c>
    </row>
    <row r="839" spans="1:9" x14ac:dyDescent="0.3">
      <c r="A839" s="1">
        <v>43300</v>
      </c>
      <c r="B839" t="s">
        <v>7</v>
      </c>
      <c r="C839" t="s">
        <v>18</v>
      </c>
      <c r="D839">
        <v>10</v>
      </c>
      <c r="E839">
        <v>80</v>
      </c>
      <c r="F839">
        <v>0.1</v>
      </c>
      <c r="G839" t="s">
        <v>26</v>
      </c>
      <c r="H839">
        <v>800</v>
      </c>
      <c r="I839">
        <f>(Table1_1[[#This Row],[Total sales]]*Table1_1[[#This Row],[Commission]])+Table1_1[[#This Row],[Total sales]]</f>
        <v>880</v>
      </c>
    </row>
    <row r="840" spans="1:9" x14ac:dyDescent="0.3">
      <c r="A840" s="1">
        <v>43300</v>
      </c>
      <c r="B840" t="s">
        <v>20</v>
      </c>
      <c r="C840" t="s">
        <v>8</v>
      </c>
      <c r="D840">
        <v>20</v>
      </c>
      <c r="E840">
        <v>16</v>
      </c>
      <c r="F840">
        <v>0.11</v>
      </c>
      <c r="G840" t="s">
        <v>27</v>
      </c>
      <c r="H840">
        <v>320</v>
      </c>
      <c r="I840">
        <f>(Table1_1[[#This Row],[Total sales]]*Table1_1[[#This Row],[Commission]])+Table1_1[[#This Row],[Total sales]]</f>
        <v>355.2</v>
      </c>
    </row>
    <row r="841" spans="1:9" x14ac:dyDescent="0.3">
      <c r="A841" s="1">
        <v>43301</v>
      </c>
      <c r="B841" t="s">
        <v>13</v>
      </c>
      <c r="C841" t="s">
        <v>18</v>
      </c>
      <c r="D841">
        <v>19</v>
      </c>
      <c r="E841">
        <v>230</v>
      </c>
      <c r="F841">
        <v>0.06</v>
      </c>
      <c r="G841" t="s">
        <v>28</v>
      </c>
      <c r="H841">
        <v>4370</v>
      </c>
      <c r="I841">
        <f>(Table1_1[[#This Row],[Total sales]]*Table1_1[[#This Row],[Commission]])+Table1_1[[#This Row],[Total sales]]</f>
        <v>4632.2</v>
      </c>
    </row>
    <row r="842" spans="1:9" x14ac:dyDescent="0.3">
      <c r="A842" s="1">
        <v>43301</v>
      </c>
      <c r="B842" t="s">
        <v>10</v>
      </c>
      <c r="C842" t="s">
        <v>16</v>
      </c>
      <c r="D842">
        <v>18</v>
      </c>
      <c r="E842">
        <v>40</v>
      </c>
      <c r="F842">
        <v>0.03</v>
      </c>
      <c r="G842" t="s">
        <v>9</v>
      </c>
      <c r="H842">
        <v>720</v>
      </c>
      <c r="I842">
        <f>(Table1_1[[#This Row],[Total sales]]*Table1_1[[#This Row],[Commission]])+Table1_1[[#This Row],[Total sales]]</f>
        <v>741.6</v>
      </c>
    </row>
    <row r="843" spans="1:9" x14ac:dyDescent="0.3">
      <c r="A843" s="1">
        <v>43301</v>
      </c>
      <c r="B843" t="s">
        <v>7</v>
      </c>
      <c r="C843" t="s">
        <v>11</v>
      </c>
      <c r="D843">
        <v>16</v>
      </c>
      <c r="E843">
        <v>80</v>
      </c>
      <c r="F843">
        <v>0.04</v>
      </c>
      <c r="G843" t="s">
        <v>12</v>
      </c>
      <c r="H843">
        <v>1280</v>
      </c>
      <c r="I843">
        <f>(Table1_1[[#This Row],[Total sales]]*Table1_1[[#This Row],[Commission]])+Table1_1[[#This Row],[Total sales]]</f>
        <v>1331.2</v>
      </c>
    </row>
    <row r="844" spans="1:9" x14ac:dyDescent="0.3">
      <c r="A844" s="1">
        <v>43301</v>
      </c>
      <c r="B844" t="s">
        <v>7</v>
      </c>
      <c r="C844" t="s">
        <v>18</v>
      </c>
      <c r="D844">
        <v>8</v>
      </c>
      <c r="E844">
        <v>80</v>
      </c>
      <c r="F844">
        <v>0.06</v>
      </c>
      <c r="G844" t="s">
        <v>14</v>
      </c>
      <c r="H844">
        <v>640</v>
      </c>
      <c r="I844">
        <f>(Table1_1[[#This Row],[Total sales]]*Table1_1[[#This Row],[Commission]])+Table1_1[[#This Row],[Total sales]]</f>
        <v>678.4</v>
      </c>
    </row>
    <row r="845" spans="1:9" x14ac:dyDescent="0.3">
      <c r="A845" s="1">
        <v>43301</v>
      </c>
      <c r="B845" t="s">
        <v>23</v>
      </c>
      <c r="C845" t="s">
        <v>18</v>
      </c>
      <c r="D845">
        <v>4</v>
      </c>
      <c r="E845">
        <v>150</v>
      </c>
      <c r="F845">
        <v>0.12</v>
      </c>
      <c r="G845" t="s">
        <v>15</v>
      </c>
      <c r="H845">
        <v>600</v>
      </c>
      <c r="I845">
        <f>(Table1_1[[#This Row],[Total sales]]*Table1_1[[#This Row],[Commission]])+Table1_1[[#This Row],[Total sales]]</f>
        <v>672</v>
      </c>
    </row>
    <row r="846" spans="1:9" x14ac:dyDescent="0.3">
      <c r="A846" s="1">
        <v>43301</v>
      </c>
      <c r="B846" t="s">
        <v>13</v>
      </c>
      <c r="C846" t="s">
        <v>16</v>
      </c>
      <c r="D846">
        <v>15</v>
      </c>
      <c r="E846">
        <v>230</v>
      </c>
      <c r="F846">
        <v>0.04</v>
      </c>
      <c r="G846" t="s">
        <v>17</v>
      </c>
      <c r="H846">
        <v>3450</v>
      </c>
      <c r="I846">
        <f>(Table1_1[[#This Row],[Total sales]]*Table1_1[[#This Row],[Commission]])+Table1_1[[#This Row],[Total sales]]</f>
        <v>3588</v>
      </c>
    </row>
    <row r="847" spans="1:9" x14ac:dyDescent="0.3">
      <c r="A847" s="1">
        <v>43302</v>
      </c>
      <c r="B847" t="s">
        <v>20</v>
      </c>
      <c r="C847" t="s">
        <v>11</v>
      </c>
      <c r="D847">
        <v>7</v>
      </c>
      <c r="E847">
        <v>16</v>
      </c>
      <c r="F847">
        <v>0.08</v>
      </c>
      <c r="G847" t="s">
        <v>19</v>
      </c>
      <c r="H847">
        <v>112</v>
      </c>
      <c r="I847">
        <f>(Table1_1[[#This Row],[Total sales]]*Table1_1[[#This Row],[Commission]])+Table1_1[[#This Row],[Total sales]]</f>
        <v>120.96000000000001</v>
      </c>
    </row>
    <row r="848" spans="1:9" x14ac:dyDescent="0.3">
      <c r="A848" s="1">
        <v>43302</v>
      </c>
      <c r="B848" t="s">
        <v>10</v>
      </c>
      <c r="C848" t="s">
        <v>8</v>
      </c>
      <c r="D848">
        <v>18</v>
      </c>
      <c r="E848">
        <v>40</v>
      </c>
      <c r="F848">
        <v>0.11</v>
      </c>
      <c r="G848" t="s">
        <v>12</v>
      </c>
      <c r="H848">
        <v>720</v>
      </c>
      <c r="I848">
        <f>(Table1_1[[#This Row],[Total sales]]*Table1_1[[#This Row],[Commission]])+Table1_1[[#This Row],[Total sales]]</f>
        <v>799.2</v>
      </c>
    </row>
    <row r="849" spans="1:9" x14ac:dyDescent="0.3">
      <c r="A849" s="1">
        <v>43302</v>
      </c>
      <c r="B849" t="s">
        <v>10</v>
      </c>
      <c r="C849" t="s">
        <v>16</v>
      </c>
      <c r="D849">
        <v>4</v>
      </c>
      <c r="E849">
        <v>40</v>
      </c>
      <c r="F849">
        <v>0.06</v>
      </c>
      <c r="G849" t="s">
        <v>14</v>
      </c>
      <c r="H849">
        <v>160</v>
      </c>
      <c r="I849">
        <f>(Table1_1[[#This Row],[Total sales]]*Table1_1[[#This Row],[Commission]])+Table1_1[[#This Row],[Total sales]]</f>
        <v>169.6</v>
      </c>
    </row>
    <row r="850" spans="1:9" x14ac:dyDescent="0.3">
      <c r="A850" s="1">
        <v>43302</v>
      </c>
      <c r="B850" t="s">
        <v>10</v>
      </c>
      <c r="C850" t="s">
        <v>21</v>
      </c>
      <c r="D850">
        <v>16</v>
      </c>
      <c r="E850">
        <v>40</v>
      </c>
      <c r="F850">
        <v>0.09</v>
      </c>
      <c r="G850" t="s">
        <v>15</v>
      </c>
      <c r="H850">
        <v>640</v>
      </c>
      <c r="I850">
        <f>(Table1_1[[#This Row],[Total sales]]*Table1_1[[#This Row],[Commission]])+Table1_1[[#This Row],[Total sales]]</f>
        <v>697.6</v>
      </c>
    </row>
    <row r="851" spans="1:9" x14ac:dyDescent="0.3">
      <c r="A851" s="1">
        <v>43302</v>
      </c>
      <c r="B851" t="s">
        <v>10</v>
      </c>
      <c r="C851" t="s">
        <v>11</v>
      </c>
      <c r="D851">
        <v>18</v>
      </c>
      <c r="E851">
        <v>40</v>
      </c>
      <c r="F851">
        <v>0.08</v>
      </c>
      <c r="G851" t="s">
        <v>17</v>
      </c>
      <c r="H851">
        <v>720</v>
      </c>
      <c r="I851">
        <f>(Table1_1[[#This Row],[Total sales]]*Table1_1[[#This Row],[Commission]])+Table1_1[[#This Row],[Total sales]]</f>
        <v>777.6</v>
      </c>
    </row>
    <row r="852" spans="1:9" x14ac:dyDescent="0.3">
      <c r="A852" s="1">
        <v>43302</v>
      </c>
      <c r="B852" t="s">
        <v>10</v>
      </c>
      <c r="C852" t="s">
        <v>8</v>
      </c>
      <c r="D852">
        <v>9</v>
      </c>
      <c r="E852">
        <v>40</v>
      </c>
      <c r="F852">
        <v>0.01</v>
      </c>
      <c r="G852" t="s">
        <v>19</v>
      </c>
      <c r="H852">
        <v>360</v>
      </c>
      <c r="I852">
        <f>(Table1_1[[#This Row],[Total sales]]*Table1_1[[#This Row],[Commission]])+Table1_1[[#This Row],[Total sales]]</f>
        <v>363.6</v>
      </c>
    </row>
    <row r="853" spans="1:9" x14ac:dyDescent="0.3">
      <c r="A853" s="1">
        <v>43302</v>
      </c>
      <c r="B853" t="s">
        <v>13</v>
      </c>
      <c r="C853" t="s">
        <v>18</v>
      </c>
      <c r="D853">
        <v>16</v>
      </c>
      <c r="E853">
        <v>230</v>
      </c>
      <c r="F853">
        <v>0.11</v>
      </c>
      <c r="G853" t="s">
        <v>22</v>
      </c>
      <c r="H853">
        <v>3680</v>
      </c>
      <c r="I853">
        <f>(Table1_1[[#This Row],[Total sales]]*Table1_1[[#This Row],[Commission]])+Table1_1[[#This Row],[Total sales]]</f>
        <v>4084.8</v>
      </c>
    </row>
    <row r="854" spans="1:9" x14ac:dyDescent="0.3">
      <c r="A854" s="1">
        <v>43302</v>
      </c>
      <c r="B854" t="s">
        <v>20</v>
      </c>
      <c r="C854" t="s">
        <v>16</v>
      </c>
      <c r="D854">
        <v>12</v>
      </c>
      <c r="E854">
        <v>16</v>
      </c>
      <c r="F854">
        <v>0.11</v>
      </c>
      <c r="G854" t="s">
        <v>24</v>
      </c>
      <c r="H854">
        <v>192</v>
      </c>
      <c r="I854">
        <f>(Table1_1[[#This Row],[Total sales]]*Table1_1[[#This Row],[Commission]])+Table1_1[[#This Row],[Total sales]]</f>
        <v>213.12</v>
      </c>
    </row>
    <row r="855" spans="1:9" x14ac:dyDescent="0.3">
      <c r="A855" s="1">
        <v>43302</v>
      </c>
      <c r="B855" t="s">
        <v>7</v>
      </c>
      <c r="C855" t="s">
        <v>11</v>
      </c>
      <c r="D855">
        <v>2</v>
      </c>
      <c r="E855">
        <v>80</v>
      </c>
      <c r="F855">
        <v>7.0000000000000007E-2</v>
      </c>
      <c r="G855" t="s">
        <v>25</v>
      </c>
      <c r="H855">
        <v>160</v>
      </c>
      <c r="I855">
        <f>(Table1_1[[#This Row],[Total sales]]*Table1_1[[#This Row],[Commission]])+Table1_1[[#This Row],[Total sales]]</f>
        <v>171.2</v>
      </c>
    </row>
    <row r="856" spans="1:9" x14ac:dyDescent="0.3">
      <c r="A856" s="1">
        <v>43302</v>
      </c>
      <c r="B856" t="s">
        <v>10</v>
      </c>
      <c r="C856" t="s">
        <v>8</v>
      </c>
      <c r="D856">
        <v>2</v>
      </c>
      <c r="E856">
        <v>40</v>
      </c>
      <c r="F856">
        <v>0.12</v>
      </c>
      <c r="G856" t="s">
        <v>26</v>
      </c>
      <c r="H856">
        <v>80</v>
      </c>
      <c r="I856">
        <f>(Table1_1[[#This Row],[Total sales]]*Table1_1[[#This Row],[Commission]])+Table1_1[[#This Row],[Total sales]]</f>
        <v>89.6</v>
      </c>
    </row>
    <row r="857" spans="1:9" x14ac:dyDescent="0.3">
      <c r="A857" s="1">
        <v>43303</v>
      </c>
      <c r="B857" t="s">
        <v>23</v>
      </c>
      <c r="C857" t="s">
        <v>8</v>
      </c>
      <c r="D857">
        <v>13</v>
      </c>
      <c r="E857">
        <v>150</v>
      </c>
      <c r="F857">
        <v>0.05</v>
      </c>
      <c r="G857" t="s">
        <v>27</v>
      </c>
      <c r="H857">
        <v>1950</v>
      </c>
      <c r="I857">
        <f>(Table1_1[[#This Row],[Total sales]]*Table1_1[[#This Row],[Commission]])+Table1_1[[#This Row],[Total sales]]</f>
        <v>2047.5</v>
      </c>
    </row>
    <row r="858" spans="1:9" x14ac:dyDescent="0.3">
      <c r="A858" s="1">
        <v>43303</v>
      </c>
      <c r="B858" t="s">
        <v>7</v>
      </c>
      <c r="C858" t="s">
        <v>8</v>
      </c>
      <c r="D858">
        <v>14</v>
      </c>
      <c r="E858">
        <v>80</v>
      </c>
      <c r="F858">
        <v>0.08</v>
      </c>
      <c r="G858" t="s">
        <v>28</v>
      </c>
      <c r="H858">
        <v>1120</v>
      </c>
      <c r="I858">
        <f>(Table1_1[[#This Row],[Total sales]]*Table1_1[[#This Row],[Commission]])+Table1_1[[#This Row],[Total sales]]</f>
        <v>1209.5999999999999</v>
      </c>
    </row>
    <row r="859" spans="1:9" x14ac:dyDescent="0.3">
      <c r="A859" s="1">
        <v>43303</v>
      </c>
      <c r="B859" t="s">
        <v>23</v>
      </c>
      <c r="C859" t="s">
        <v>18</v>
      </c>
      <c r="D859">
        <v>6</v>
      </c>
      <c r="E859">
        <v>150</v>
      </c>
      <c r="F859">
        <v>0.03</v>
      </c>
      <c r="G859" t="s">
        <v>9</v>
      </c>
      <c r="H859">
        <v>900</v>
      </c>
      <c r="I859">
        <f>(Table1_1[[#This Row],[Total sales]]*Table1_1[[#This Row],[Commission]])+Table1_1[[#This Row],[Total sales]]</f>
        <v>927</v>
      </c>
    </row>
    <row r="860" spans="1:9" x14ac:dyDescent="0.3">
      <c r="A860" s="1">
        <v>43303</v>
      </c>
      <c r="B860" t="s">
        <v>7</v>
      </c>
      <c r="C860" t="s">
        <v>18</v>
      </c>
      <c r="D860">
        <v>23</v>
      </c>
      <c r="E860">
        <v>80</v>
      </c>
      <c r="F860">
        <v>0.11</v>
      </c>
      <c r="G860" t="s">
        <v>12</v>
      </c>
      <c r="H860">
        <v>1840</v>
      </c>
      <c r="I860">
        <f>(Table1_1[[#This Row],[Total sales]]*Table1_1[[#This Row],[Commission]])+Table1_1[[#This Row],[Total sales]]</f>
        <v>2042.4</v>
      </c>
    </row>
    <row r="861" spans="1:9" x14ac:dyDescent="0.3">
      <c r="A861" s="1">
        <v>43303</v>
      </c>
      <c r="B861" t="s">
        <v>7</v>
      </c>
      <c r="C861" t="s">
        <v>18</v>
      </c>
      <c r="D861">
        <v>21</v>
      </c>
      <c r="E861">
        <v>80</v>
      </c>
      <c r="F861">
        <v>0.05</v>
      </c>
      <c r="G861" t="s">
        <v>14</v>
      </c>
      <c r="H861">
        <v>1680</v>
      </c>
      <c r="I861">
        <f>(Table1_1[[#This Row],[Total sales]]*Table1_1[[#This Row],[Commission]])+Table1_1[[#This Row],[Total sales]]</f>
        <v>1764</v>
      </c>
    </row>
    <row r="862" spans="1:9" x14ac:dyDescent="0.3">
      <c r="A862" s="1">
        <v>43303</v>
      </c>
      <c r="B862" t="s">
        <v>20</v>
      </c>
      <c r="C862" t="s">
        <v>16</v>
      </c>
      <c r="D862">
        <v>3</v>
      </c>
      <c r="E862">
        <v>16</v>
      </c>
      <c r="F862">
        <v>0.05</v>
      </c>
      <c r="G862" t="s">
        <v>15</v>
      </c>
      <c r="H862">
        <v>48</v>
      </c>
      <c r="I862">
        <f>(Table1_1[[#This Row],[Total sales]]*Table1_1[[#This Row],[Commission]])+Table1_1[[#This Row],[Total sales]]</f>
        <v>50.4</v>
      </c>
    </row>
    <row r="863" spans="1:9" x14ac:dyDescent="0.3">
      <c r="A863" s="1">
        <v>43303</v>
      </c>
      <c r="B863" t="s">
        <v>20</v>
      </c>
      <c r="C863" t="s">
        <v>11</v>
      </c>
      <c r="D863">
        <v>21</v>
      </c>
      <c r="E863">
        <v>16</v>
      </c>
      <c r="F863">
        <v>0.02</v>
      </c>
      <c r="G863" t="s">
        <v>17</v>
      </c>
      <c r="H863">
        <v>336</v>
      </c>
      <c r="I863">
        <f>(Table1_1[[#This Row],[Total sales]]*Table1_1[[#This Row],[Commission]])+Table1_1[[#This Row],[Total sales]]</f>
        <v>342.72</v>
      </c>
    </row>
    <row r="864" spans="1:9" x14ac:dyDescent="0.3">
      <c r="A864" s="1">
        <v>43303</v>
      </c>
      <c r="B864" t="s">
        <v>7</v>
      </c>
      <c r="C864" t="s">
        <v>18</v>
      </c>
      <c r="D864">
        <v>4</v>
      </c>
      <c r="E864">
        <v>80</v>
      </c>
      <c r="F864">
        <v>0.11</v>
      </c>
      <c r="G864" t="s">
        <v>19</v>
      </c>
      <c r="H864">
        <v>320</v>
      </c>
      <c r="I864">
        <f>(Table1_1[[#This Row],[Total sales]]*Table1_1[[#This Row],[Commission]])+Table1_1[[#This Row],[Total sales]]</f>
        <v>355.2</v>
      </c>
    </row>
    <row r="865" spans="1:9" x14ac:dyDescent="0.3">
      <c r="A865" s="1">
        <v>43303</v>
      </c>
      <c r="B865" t="s">
        <v>23</v>
      </c>
      <c r="C865" t="s">
        <v>21</v>
      </c>
      <c r="D865">
        <v>23</v>
      </c>
      <c r="E865">
        <v>150</v>
      </c>
      <c r="F865">
        <v>0.08</v>
      </c>
      <c r="G865" t="s">
        <v>12</v>
      </c>
      <c r="H865">
        <v>3450</v>
      </c>
      <c r="I865">
        <f>(Table1_1[[#This Row],[Total sales]]*Table1_1[[#This Row],[Commission]])+Table1_1[[#This Row],[Total sales]]</f>
        <v>3726</v>
      </c>
    </row>
    <row r="866" spans="1:9" x14ac:dyDescent="0.3">
      <c r="A866" s="1">
        <v>43303</v>
      </c>
      <c r="B866" t="s">
        <v>20</v>
      </c>
      <c r="C866" t="s">
        <v>21</v>
      </c>
      <c r="D866">
        <v>23</v>
      </c>
      <c r="E866">
        <v>16</v>
      </c>
      <c r="F866">
        <v>0.01</v>
      </c>
      <c r="G866" t="s">
        <v>14</v>
      </c>
      <c r="H866">
        <v>368</v>
      </c>
      <c r="I866">
        <f>(Table1_1[[#This Row],[Total sales]]*Table1_1[[#This Row],[Commission]])+Table1_1[[#This Row],[Total sales]]</f>
        <v>371.68</v>
      </c>
    </row>
    <row r="867" spans="1:9" x14ac:dyDescent="0.3">
      <c r="A867" s="1">
        <v>43303</v>
      </c>
      <c r="B867" t="s">
        <v>10</v>
      </c>
      <c r="C867" t="s">
        <v>18</v>
      </c>
      <c r="D867">
        <v>22</v>
      </c>
      <c r="E867">
        <v>40</v>
      </c>
      <c r="F867">
        <v>0.01</v>
      </c>
      <c r="G867" t="s">
        <v>15</v>
      </c>
      <c r="H867">
        <v>880</v>
      </c>
      <c r="I867">
        <f>(Table1_1[[#This Row],[Total sales]]*Table1_1[[#This Row],[Commission]])+Table1_1[[#This Row],[Total sales]]</f>
        <v>888.8</v>
      </c>
    </row>
    <row r="868" spans="1:9" x14ac:dyDescent="0.3">
      <c r="A868" s="1">
        <v>43304</v>
      </c>
      <c r="B868" t="s">
        <v>23</v>
      </c>
      <c r="C868" t="s">
        <v>8</v>
      </c>
      <c r="D868">
        <v>8</v>
      </c>
      <c r="E868">
        <v>150</v>
      </c>
      <c r="F868">
        <v>0.09</v>
      </c>
      <c r="G868" t="s">
        <v>17</v>
      </c>
      <c r="H868">
        <v>1200</v>
      </c>
      <c r="I868">
        <f>(Table1_1[[#This Row],[Total sales]]*Table1_1[[#This Row],[Commission]])+Table1_1[[#This Row],[Total sales]]</f>
        <v>1308</v>
      </c>
    </row>
    <row r="869" spans="1:9" x14ac:dyDescent="0.3">
      <c r="A869" s="1">
        <v>43304</v>
      </c>
      <c r="B869" t="s">
        <v>23</v>
      </c>
      <c r="C869" t="s">
        <v>8</v>
      </c>
      <c r="D869">
        <v>20</v>
      </c>
      <c r="E869">
        <v>150</v>
      </c>
      <c r="F869">
        <v>0.01</v>
      </c>
      <c r="G869" t="s">
        <v>19</v>
      </c>
      <c r="H869">
        <v>3000</v>
      </c>
      <c r="I869">
        <f>(Table1_1[[#This Row],[Total sales]]*Table1_1[[#This Row],[Commission]])+Table1_1[[#This Row],[Total sales]]</f>
        <v>3030</v>
      </c>
    </row>
    <row r="870" spans="1:9" x14ac:dyDescent="0.3">
      <c r="A870" s="1">
        <v>43304</v>
      </c>
      <c r="B870" t="s">
        <v>13</v>
      </c>
      <c r="C870" t="s">
        <v>11</v>
      </c>
      <c r="D870">
        <v>22</v>
      </c>
      <c r="E870">
        <v>230</v>
      </c>
      <c r="F870">
        <v>0.11</v>
      </c>
      <c r="G870" t="s">
        <v>22</v>
      </c>
      <c r="H870">
        <v>5060</v>
      </c>
      <c r="I870">
        <f>(Table1_1[[#This Row],[Total sales]]*Table1_1[[#This Row],[Commission]])+Table1_1[[#This Row],[Total sales]]</f>
        <v>5616.6</v>
      </c>
    </row>
    <row r="871" spans="1:9" x14ac:dyDescent="0.3">
      <c r="A871" s="1">
        <v>43304</v>
      </c>
      <c r="B871" t="s">
        <v>20</v>
      </c>
      <c r="C871" t="s">
        <v>16</v>
      </c>
      <c r="D871">
        <v>23</v>
      </c>
      <c r="E871">
        <v>16</v>
      </c>
      <c r="F871">
        <v>0.11</v>
      </c>
      <c r="G871" t="s">
        <v>24</v>
      </c>
      <c r="H871">
        <v>368</v>
      </c>
      <c r="I871">
        <f>(Table1_1[[#This Row],[Total sales]]*Table1_1[[#This Row],[Commission]])+Table1_1[[#This Row],[Total sales]]</f>
        <v>408.48</v>
      </c>
    </row>
    <row r="872" spans="1:9" x14ac:dyDescent="0.3">
      <c r="A872" s="1">
        <v>43304</v>
      </c>
      <c r="B872" t="s">
        <v>7</v>
      </c>
      <c r="C872" t="s">
        <v>8</v>
      </c>
      <c r="D872">
        <v>6</v>
      </c>
      <c r="E872">
        <v>80</v>
      </c>
      <c r="F872">
        <v>0.01</v>
      </c>
      <c r="G872" t="s">
        <v>25</v>
      </c>
      <c r="H872">
        <v>480</v>
      </c>
      <c r="I872">
        <f>(Table1_1[[#This Row],[Total sales]]*Table1_1[[#This Row],[Commission]])+Table1_1[[#This Row],[Total sales]]</f>
        <v>484.8</v>
      </c>
    </row>
    <row r="873" spans="1:9" x14ac:dyDescent="0.3">
      <c r="A873" s="1">
        <v>43304</v>
      </c>
      <c r="B873" t="s">
        <v>20</v>
      </c>
      <c r="C873" t="s">
        <v>8</v>
      </c>
      <c r="D873">
        <v>7</v>
      </c>
      <c r="E873">
        <v>16</v>
      </c>
      <c r="F873">
        <v>0.12</v>
      </c>
      <c r="G873" t="s">
        <v>26</v>
      </c>
      <c r="H873">
        <v>112</v>
      </c>
      <c r="I873">
        <f>(Table1_1[[#This Row],[Total sales]]*Table1_1[[#This Row],[Commission]])+Table1_1[[#This Row],[Total sales]]</f>
        <v>125.44</v>
      </c>
    </row>
    <row r="874" spans="1:9" x14ac:dyDescent="0.3">
      <c r="A874" s="1">
        <v>43304</v>
      </c>
      <c r="B874" t="s">
        <v>7</v>
      </c>
      <c r="C874" t="s">
        <v>11</v>
      </c>
      <c r="D874">
        <v>10</v>
      </c>
      <c r="E874">
        <v>80</v>
      </c>
      <c r="F874">
        <v>0.11</v>
      </c>
      <c r="G874" t="s">
        <v>27</v>
      </c>
      <c r="H874">
        <v>800</v>
      </c>
      <c r="I874">
        <f>(Table1_1[[#This Row],[Total sales]]*Table1_1[[#This Row],[Commission]])+Table1_1[[#This Row],[Total sales]]</f>
        <v>888</v>
      </c>
    </row>
    <row r="875" spans="1:9" x14ac:dyDescent="0.3">
      <c r="A875" s="1">
        <v>43304</v>
      </c>
      <c r="B875" t="s">
        <v>13</v>
      </c>
      <c r="C875" t="s">
        <v>8</v>
      </c>
      <c r="D875">
        <v>9</v>
      </c>
      <c r="E875">
        <v>230</v>
      </c>
      <c r="F875">
        <v>7.0000000000000007E-2</v>
      </c>
      <c r="G875" t="s">
        <v>28</v>
      </c>
      <c r="H875">
        <v>2070</v>
      </c>
      <c r="I875">
        <f>(Table1_1[[#This Row],[Total sales]]*Table1_1[[#This Row],[Commission]])+Table1_1[[#This Row],[Total sales]]</f>
        <v>2214.9</v>
      </c>
    </row>
    <row r="876" spans="1:9" x14ac:dyDescent="0.3">
      <c r="A876" s="1">
        <v>43305</v>
      </c>
      <c r="B876" t="s">
        <v>10</v>
      </c>
      <c r="C876" t="s">
        <v>11</v>
      </c>
      <c r="D876">
        <v>12</v>
      </c>
      <c r="E876">
        <v>40</v>
      </c>
      <c r="F876">
        <v>0.1</v>
      </c>
      <c r="G876" t="s">
        <v>9</v>
      </c>
      <c r="H876">
        <v>480</v>
      </c>
      <c r="I876">
        <f>(Table1_1[[#This Row],[Total sales]]*Table1_1[[#This Row],[Commission]])+Table1_1[[#This Row],[Total sales]]</f>
        <v>528</v>
      </c>
    </row>
    <row r="877" spans="1:9" x14ac:dyDescent="0.3">
      <c r="A877" s="1">
        <v>43305</v>
      </c>
      <c r="B877" t="s">
        <v>20</v>
      </c>
      <c r="C877" t="s">
        <v>21</v>
      </c>
      <c r="D877">
        <v>17</v>
      </c>
      <c r="E877">
        <v>16</v>
      </c>
      <c r="F877">
        <v>0.1</v>
      </c>
      <c r="G877" t="s">
        <v>12</v>
      </c>
      <c r="H877">
        <v>272</v>
      </c>
      <c r="I877">
        <f>(Table1_1[[#This Row],[Total sales]]*Table1_1[[#This Row],[Commission]])+Table1_1[[#This Row],[Total sales]]</f>
        <v>299.2</v>
      </c>
    </row>
    <row r="878" spans="1:9" x14ac:dyDescent="0.3">
      <c r="A878" s="1">
        <v>43305</v>
      </c>
      <c r="B878" t="s">
        <v>23</v>
      </c>
      <c r="C878" t="s">
        <v>16</v>
      </c>
      <c r="D878">
        <v>22</v>
      </c>
      <c r="E878">
        <v>150</v>
      </c>
      <c r="F878">
        <v>0.04</v>
      </c>
      <c r="G878" t="s">
        <v>14</v>
      </c>
      <c r="H878">
        <v>3300</v>
      </c>
      <c r="I878">
        <f>(Table1_1[[#This Row],[Total sales]]*Table1_1[[#This Row],[Commission]])+Table1_1[[#This Row],[Total sales]]</f>
        <v>3432</v>
      </c>
    </row>
    <row r="879" spans="1:9" x14ac:dyDescent="0.3">
      <c r="A879" s="1">
        <v>43305</v>
      </c>
      <c r="B879" t="s">
        <v>23</v>
      </c>
      <c r="C879" t="s">
        <v>16</v>
      </c>
      <c r="D879">
        <v>11</v>
      </c>
      <c r="E879">
        <v>150</v>
      </c>
      <c r="F879">
        <v>0.05</v>
      </c>
      <c r="G879" t="s">
        <v>15</v>
      </c>
      <c r="H879">
        <v>1650</v>
      </c>
      <c r="I879">
        <f>(Table1_1[[#This Row],[Total sales]]*Table1_1[[#This Row],[Commission]])+Table1_1[[#This Row],[Total sales]]</f>
        <v>1732.5</v>
      </c>
    </row>
    <row r="880" spans="1:9" x14ac:dyDescent="0.3">
      <c r="A880" s="1">
        <v>43305</v>
      </c>
      <c r="B880" t="s">
        <v>7</v>
      </c>
      <c r="C880" t="s">
        <v>21</v>
      </c>
      <c r="D880">
        <v>9</v>
      </c>
      <c r="E880">
        <v>80</v>
      </c>
      <c r="F880">
        <v>0.02</v>
      </c>
      <c r="G880" t="s">
        <v>17</v>
      </c>
      <c r="H880">
        <v>720</v>
      </c>
      <c r="I880">
        <f>(Table1_1[[#This Row],[Total sales]]*Table1_1[[#This Row],[Commission]])+Table1_1[[#This Row],[Total sales]]</f>
        <v>734.4</v>
      </c>
    </row>
    <row r="881" spans="1:9" x14ac:dyDescent="0.3">
      <c r="A881" s="1">
        <v>43305</v>
      </c>
      <c r="B881" t="s">
        <v>7</v>
      </c>
      <c r="C881" t="s">
        <v>21</v>
      </c>
      <c r="D881">
        <v>13</v>
      </c>
      <c r="E881">
        <v>80</v>
      </c>
      <c r="F881">
        <v>0.05</v>
      </c>
      <c r="G881" t="s">
        <v>19</v>
      </c>
      <c r="H881">
        <v>1040</v>
      </c>
      <c r="I881">
        <f>(Table1_1[[#This Row],[Total sales]]*Table1_1[[#This Row],[Commission]])+Table1_1[[#This Row],[Total sales]]</f>
        <v>1092</v>
      </c>
    </row>
    <row r="882" spans="1:9" x14ac:dyDescent="0.3">
      <c r="A882" s="1">
        <v>43305</v>
      </c>
      <c r="B882" t="s">
        <v>10</v>
      </c>
      <c r="C882" t="s">
        <v>21</v>
      </c>
      <c r="D882">
        <v>20</v>
      </c>
      <c r="E882">
        <v>40</v>
      </c>
      <c r="F882">
        <v>0.1</v>
      </c>
      <c r="G882" t="s">
        <v>12</v>
      </c>
      <c r="H882">
        <v>800</v>
      </c>
      <c r="I882">
        <f>(Table1_1[[#This Row],[Total sales]]*Table1_1[[#This Row],[Commission]])+Table1_1[[#This Row],[Total sales]]</f>
        <v>880</v>
      </c>
    </row>
    <row r="883" spans="1:9" x14ac:dyDescent="0.3">
      <c r="A883" s="1">
        <v>43305</v>
      </c>
      <c r="B883" t="s">
        <v>10</v>
      </c>
      <c r="C883" t="s">
        <v>11</v>
      </c>
      <c r="D883">
        <v>15</v>
      </c>
      <c r="E883">
        <v>40</v>
      </c>
      <c r="F883">
        <v>0.02</v>
      </c>
      <c r="G883" t="s">
        <v>14</v>
      </c>
      <c r="H883">
        <v>600</v>
      </c>
      <c r="I883">
        <f>(Table1_1[[#This Row],[Total sales]]*Table1_1[[#This Row],[Commission]])+Table1_1[[#This Row],[Total sales]]</f>
        <v>612</v>
      </c>
    </row>
    <row r="884" spans="1:9" x14ac:dyDescent="0.3">
      <c r="A884" s="1">
        <v>43306</v>
      </c>
      <c r="B884" t="s">
        <v>23</v>
      </c>
      <c r="C884" t="s">
        <v>21</v>
      </c>
      <c r="D884">
        <v>15</v>
      </c>
      <c r="E884">
        <v>150</v>
      </c>
      <c r="F884">
        <v>7.0000000000000007E-2</v>
      </c>
      <c r="G884" t="s">
        <v>15</v>
      </c>
      <c r="H884">
        <v>2250</v>
      </c>
      <c r="I884">
        <f>(Table1_1[[#This Row],[Total sales]]*Table1_1[[#This Row],[Commission]])+Table1_1[[#This Row],[Total sales]]</f>
        <v>2407.5</v>
      </c>
    </row>
    <row r="885" spans="1:9" x14ac:dyDescent="0.3">
      <c r="A885" s="1">
        <v>43306</v>
      </c>
      <c r="B885" t="s">
        <v>7</v>
      </c>
      <c r="C885" t="s">
        <v>21</v>
      </c>
      <c r="D885">
        <v>16</v>
      </c>
      <c r="E885">
        <v>80</v>
      </c>
      <c r="F885">
        <v>0.09</v>
      </c>
      <c r="G885" t="s">
        <v>17</v>
      </c>
      <c r="H885">
        <v>1280</v>
      </c>
      <c r="I885">
        <f>(Table1_1[[#This Row],[Total sales]]*Table1_1[[#This Row],[Commission]])+Table1_1[[#This Row],[Total sales]]</f>
        <v>1395.2</v>
      </c>
    </row>
    <row r="886" spans="1:9" x14ac:dyDescent="0.3">
      <c r="A886" s="1">
        <v>43306</v>
      </c>
      <c r="B886" t="s">
        <v>13</v>
      </c>
      <c r="C886" t="s">
        <v>8</v>
      </c>
      <c r="D886">
        <v>16</v>
      </c>
      <c r="E886">
        <v>230</v>
      </c>
      <c r="F886">
        <v>7.0000000000000007E-2</v>
      </c>
      <c r="G886" t="s">
        <v>19</v>
      </c>
      <c r="H886">
        <v>3680</v>
      </c>
      <c r="I886">
        <f>(Table1_1[[#This Row],[Total sales]]*Table1_1[[#This Row],[Commission]])+Table1_1[[#This Row],[Total sales]]</f>
        <v>3937.6</v>
      </c>
    </row>
    <row r="887" spans="1:9" x14ac:dyDescent="0.3">
      <c r="A887" s="1">
        <v>43306</v>
      </c>
      <c r="B887" t="s">
        <v>7</v>
      </c>
      <c r="C887" t="s">
        <v>11</v>
      </c>
      <c r="D887">
        <v>14</v>
      </c>
      <c r="E887">
        <v>80</v>
      </c>
      <c r="F887">
        <v>0.11</v>
      </c>
      <c r="G887" t="s">
        <v>22</v>
      </c>
      <c r="H887">
        <v>1120</v>
      </c>
      <c r="I887">
        <f>(Table1_1[[#This Row],[Total sales]]*Table1_1[[#This Row],[Commission]])+Table1_1[[#This Row],[Total sales]]</f>
        <v>1243.2</v>
      </c>
    </row>
    <row r="888" spans="1:9" x14ac:dyDescent="0.3">
      <c r="A888" s="1">
        <v>43306</v>
      </c>
      <c r="B888" t="s">
        <v>7</v>
      </c>
      <c r="C888" t="s">
        <v>21</v>
      </c>
      <c r="D888">
        <v>17</v>
      </c>
      <c r="E888">
        <v>80</v>
      </c>
      <c r="F888">
        <v>7.0000000000000007E-2</v>
      </c>
      <c r="G888" t="s">
        <v>24</v>
      </c>
      <c r="H888">
        <v>1360</v>
      </c>
      <c r="I888">
        <f>(Table1_1[[#This Row],[Total sales]]*Table1_1[[#This Row],[Commission]])+Table1_1[[#This Row],[Total sales]]</f>
        <v>1455.2</v>
      </c>
    </row>
    <row r="889" spans="1:9" x14ac:dyDescent="0.3">
      <c r="A889" s="1">
        <v>43306</v>
      </c>
      <c r="B889" t="s">
        <v>7</v>
      </c>
      <c r="C889" t="s">
        <v>16</v>
      </c>
      <c r="D889">
        <v>16</v>
      </c>
      <c r="E889">
        <v>80</v>
      </c>
      <c r="F889">
        <v>0.02</v>
      </c>
      <c r="G889" t="s">
        <v>25</v>
      </c>
      <c r="H889">
        <v>1280</v>
      </c>
      <c r="I889">
        <f>(Table1_1[[#This Row],[Total sales]]*Table1_1[[#This Row],[Commission]])+Table1_1[[#This Row],[Total sales]]</f>
        <v>1305.5999999999999</v>
      </c>
    </row>
    <row r="890" spans="1:9" x14ac:dyDescent="0.3">
      <c r="A890" s="1">
        <v>43306</v>
      </c>
      <c r="B890" t="s">
        <v>20</v>
      </c>
      <c r="C890" t="s">
        <v>8</v>
      </c>
      <c r="D890">
        <v>21</v>
      </c>
      <c r="E890">
        <v>16</v>
      </c>
      <c r="F890">
        <v>0.09</v>
      </c>
      <c r="G890" t="s">
        <v>26</v>
      </c>
      <c r="H890">
        <v>336</v>
      </c>
      <c r="I890">
        <f>(Table1_1[[#This Row],[Total sales]]*Table1_1[[#This Row],[Commission]])+Table1_1[[#This Row],[Total sales]]</f>
        <v>366.24</v>
      </c>
    </row>
    <row r="891" spans="1:9" x14ac:dyDescent="0.3">
      <c r="A891" s="1">
        <v>43306</v>
      </c>
      <c r="B891" t="s">
        <v>23</v>
      </c>
      <c r="C891" t="s">
        <v>8</v>
      </c>
      <c r="D891">
        <v>9</v>
      </c>
      <c r="E891">
        <v>150</v>
      </c>
      <c r="F891">
        <v>0.1</v>
      </c>
      <c r="G891" t="s">
        <v>27</v>
      </c>
      <c r="H891">
        <v>1350</v>
      </c>
      <c r="I891">
        <f>(Table1_1[[#This Row],[Total sales]]*Table1_1[[#This Row],[Commission]])+Table1_1[[#This Row],[Total sales]]</f>
        <v>1485</v>
      </c>
    </row>
    <row r="892" spans="1:9" x14ac:dyDescent="0.3">
      <c r="A892" s="1">
        <v>43306</v>
      </c>
      <c r="B892" t="s">
        <v>23</v>
      </c>
      <c r="C892" t="s">
        <v>18</v>
      </c>
      <c r="D892">
        <v>3</v>
      </c>
      <c r="E892">
        <v>150</v>
      </c>
      <c r="F892">
        <v>0.01</v>
      </c>
      <c r="G892" t="s">
        <v>28</v>
      </c>
      <c r="H892">
        <v>450</v>
      </c>
      <c r="I892">
        <f>(Table1_1[[#This Row],[Total sales]]*Table1_1[[#This Row],[Commission]])+Table1_1[[#This Row],[Total sales]]</f>
        <v>454.5</v>
      </c>
    </row>
    <row r="893" spans="1:9" x14ac:dyDescent="0.3">
      <c r="A893" s="1">
        <v>43307</v>
      </c>
      <c r="B893" t="s">
        <v>7</v>
      </c>
      <c r="C893" t="s">
        <v>11</v>
      </c>
      <c r="D893">
        <v>14</v>
      </c>
      <c r="E893">
        <v>80</v>
      </c>
      <c r="F893">
        <v>0.06</v>
      </c>
      <c r="G893" t="s">
        <v>9</v>
      </c>
      <c r="H893">
        <v>1120</v>
      </c>
      <c r="I893">
        <f>(Table1_1[[#This Row],[Total sales]]*Table1_1[[#This Row],[Commission]])+Table1_1[[#This Row],[Total sales]]</f>
        <v>1187.2</v>
      </c>
    </row>
    <row r="894" spans="1:9" x14ac:dyDescent="0.3">
      <c r="A894" s="1">
        <v>43307</v>
      </c>
      <c r="B894" t="s">
        <v>23</v>
      </c>
      <c r="C894" t="s">
        <v>21</v>
      </c>
      <c r="D894">
        <v>4</v>
      </c>
      <c r="E894">
        <v>150</v>
      </c>
      <c r="F894">
        <v>0.05</v>
      </c>
      <c r="G894" t="s">
        <v>12</v>
      </c>
      <c r="H894">
        <v>600</v>
      </c>
      <c r="I894">
        <f>(Table1_1[[#This Row],[Total sales]]*Table1_1[[#This Row],[Commission]])+Table1_1[[#This Row],[Total sales]]</f>
        <v>630</v>
      </c>
    </row>
    <row r="895" spans="1:9" x14ac:dyDescent="0.3">
      <c r="A895" s="1">
        <v>43307</v>
      </c>
      <c r="B895" t="s">
        <v>20</v>
      </c>
      <c r="C895" t="s">
        <v>11</v>
      </c>
      <c r="D895">
        <v>20</v>
      </c>
      <c r="E895">
        <v>16</v>
      </c>
      <c r="F895">
        <v>0.06</v>
      </c>
      <c r="G895" t="s">
        <v>14</v>
      </c>
      <c r="H895">
        <v>320</v>
      </c>
      <c r="I895">
        <f>(Table1_1[[#This Row],[Total sales]]*Table1_1[[#This Row],[Commission]])+Table1_1[[#This Row],[Total sales]]</f>
        <v>339.2</v>
      </c>
    </row>
    <row r="896" spans="1:9" x14ac:dyDescent="0.3">
      <c r="A896" s="1">
        <v>43307</v>
      </c>
      <c r="B896" t="s">
        <v>13</v>
      </c>
      <c r="C896" t="s">
        <v>16</v>
      </c>
      <c r="D896">
        <v>7</v>
      </c>
      <c r="E896">
        <v>230</v>
      </c>
      <c r="F896">
        <v>0.01</v>
      </c>
      <c r="G896" t="s">
        <v>15</v>
      </c>
      <c r="H896">
        <v>1610</v>
      </c>
      <c r="I896">
        <f>(Table1_1[[#This Row],[Total sales]]*Table1_1[[#This Row],[Commission]])+Table1_1[[#This Row],[Total sales]]</f>
        <v>1626.1</v>
      </c>
    </row>
    <row r="897" spans="1:9" x14ac:dyDescent="0.3">
      <c r="A897" s="1">
        <v>43307</v>
      </c>
      <c r="B897" t="s">
        <v>7</v>
      </c>
      <c r="C897" t="s">
        <v>11</v>
      </c>
      <c r="D897">
        <v>9</v>
      </c>
      <c r="E897">
        <v>80</v>
      </c>
      <c r="F897">
        <v>0.03</v>
      </c>
      <c r="G897" t="s">
        <v>17</v>
      </c>
      <c r="H897">
        <v>720</v>
      </c>
      <c r="I897">
        <f>(Table1_1[[#This Row],[Total sales]]*Table1_1[[#This Row],[Commission]])+Table1_1[[#This Row],[Total sales]]</f>
        <v>741.6</v>
      </c>
    </row>
    <row r="898" spans="1:9" x14ac:dyDescent="0.3">
      <c r="A898" s="1">
        <v>43307</v>
      </c>
      <c r="B898" t="s">
        <v>10</v>
      </c>
      <c r="C898" t="s">
        <v>18</v>
      </c>
      <c r="D898">
        <v>4</v>
      </c>
      <c r="E898">
        <v>40</v>
      </c>
      <c r="F898">
        <v>0.05</v>
      </c>
      <c r="G898" t="s">
        <v>19</v>
      </c>
      <c r="H898">
        <v>160</v>
      </c>
      <c r="I898">
        <f>(Table1_1[[#This Row],[Total sales]]*Table1_1[[#This Row],[Commission]])+Table1_1[[#This Row],[Total sales]]</f>
        <v>168</v>
      </c>
    </row>
    <row r="899" spans="1:9" x14ac:dyDescent="0.3">
      <c r="A899" s="1">
        <v>43307</v>
      </c>
      <c r="B899" t="s">
        <v>7</v>
      </c>
      <c r="C899" t="s">
        <v>8</v>
      </c>
      <c r="D899">
        <v>6</v>
      </c>
      <c r="E899">
        <v>80</v>
      </c>
      <c r="F899">
        <v>7.0000000000000007E-2</v>
      </c>
      <c r="G899" t="s">
        <v>12</v>
      </c>
      <c r="H899">
        <v>480</v>
      </c>
      <c r="I899">
        <f>(Table1_1[[#This Row],[Total sales]]*Table1_1[[#This Row],[Commission]])+Table1_1[[#This Row],[Total sales]]</f>
        <v>513.6</v>
      </c>
    </row>
    <row r="900" spans="1:9" x14ac:dyDescent="0.3">
      <c r="A900" s="1">
        <v>43307</v>
      </c>
      <c r="B900" t="s">
        <v>20</v>
      </c>
      <c r="C900" t="s">
        <v>16</v>
      </c>
      <c r="D900">
        <v>8</v>
      </c>
      <c r="E900">
        <v>16</v>
      </c>
      <c r="F900">
        <v>0.03</v>
      </c>
      <c r="G900" t="s">
        <v>14</v>
      </c>
      <c r="H900">
        <v>128</v>
      </c>
      <c r="I900">
        <f>(Table1_1[[#This Row],[Total sales]]*Table1_1[[#This Row],[Commission]])+Table1_1[[#This Row],[Total sales]]</f>
        <v>131.84</v>
      </c>
    </row>
    <row r="901" spans="1:9" x14ac:dyDescent="0.3">
      <c r="A901" s="1">
        <v>43307</v>
      </c>
      <c r="B901" t="s">
        <v>20</v>
      </c>
      <c r="C901" t="s">
        <v>8</v>
      </c>
      <c r="D901">
        <v>10</v>
      </c>
      <c r="E901">
        <v>16</v>
      </c>
      <c r="F901">
        <v>0.08</v>
      </c>
      <c r="G901" t="s">
        <v>15</v>
      </c>
      <c r="H901">
        <v>160</v>
      </c>
      <c r="I901">
        <f>(Table1_1[[#This Row],[Total sales]]*Table1_1[[#This Row],[Commission]])+Table1_1[[#This Row],[Total sales]]</f>
        <v>172.8</v>
      </c>
    </row>
    <row r="902" spans="1:9" x14ac:dyDescent="0.3">
      <c r="A902" s="1">
        <v>43307</v>
      </c>
      <c r="B902" t="s">
        <v>20</v>
      </c>
      <c r="C902" t="s">
        <v>18</v>
      </c>
      <c r="D902">
        <v>22</v>
      </c>
      <c r="E902">
        <v>16</v>
      </c>
      <c r="F902">
        <v>0.03</v>
      </c>
      <c r="G902" t="s">
        <v>17</v>
      </c>
      <c r="H902">
        <v>352</v>
      </c>
      <c r="I902">
        <f>(Table1_1[[#This Row],[Total sales]]*Table1_1[[#This Row],[Commission]])+Table1_1[[#This Row],[Total sales]]</f>
        <v>362.56</v>
      </c>
    </row>
    <row r="903" spans="1:9" x14ac:dyDescent="0.3">
      <c r="A903" s="1">
        <v>43307</v>
      </c>
      <c r="B903" t="s">
        <v>7</v>
      </c>
      <c r="C903" t="s">
        <v>18</v>
      </c>
      <c r="D903">
        <v>11</v>
      </c>
      <c r="E903">
        <v>80</v>
      </c>
      <c r="F903">
        <v>0.01</v>
      </c>
      <c r="G903" t="s">
        <v>19</v>
      </c>
      <c r="H903">
        <v>880</v>
      </c>
      <c r="I903">
        <f>(Table1_1[[#This Row],[Total sales]]*Table1_1[[#This Row],[Commission]])+Table1_1[[#This Row],[Total sales]]</f>
        <v>888.8</v>
      </c>
    </row>
    <row r="904" spans="1:9" x14ac:dyDescent="0.3">
      <c r="A904" s="1">
        <v>43307</v>
      </c>
      <c r="B904" t="s">
        <v>20</v>
      </c>
      <c r="C904" t="s">
        <v>18</v>
      </c>
      <c r="D904">
        <v>7</v>
      </c>
      <c r="E904">
        <v>16</v>
      </c>
      <c r="F904">
        <v>0.08</v>
      </c>
      <c r="G904" t="s">
        <v>22</v>
      </c>
      <c r="H904">
        <v>112</v>
      </c>
      <c r="I904">
        <f>(Table1_1[[#This Row],[Total sales]]*Table1_1[[#This Row],[Commission]])+Table1_1[[#This Row],[Total sales]]</f>
        <v>120.96000000000001</v>
      </c>
    </row>
    <row r="905" spans="1:9" x14ac:dyDescent="0.3">
      <c r="A905" s="1">
        <v>43308</v>
      </c>
      <c r="B905" t="s">
        <v>20</v>
      </c>
      <c r="C905" t="s">
        <v>16</v>
      </c>
      <c r="D905">
        <v>11</v>
      </c>
      <c r="E905">
        <v>16</v>
      </c>
      <c r="F905">
        <v>0.12</v>
      </c>
      <c r="G905" t="s">
        <v>24</v>
      </c>
      <c r="H905">
        <v>176</v>
      </c>
      <c r="I905">
        <f>(Table1_1[[#This Row],[Total sales]]*Table1_1[[#This Row],[Commission]])+Table1_1[[#This Row],[Total sales]]</f>
        <v>197.12</v>
      </c>
    </row>
    <row r="906" spans="1:9" x14ac:dyDescent="0.3">
      <c r="A906" s="1">
        <v>43308</v>
      </c>
      <c r="B906" t="s">
        <v>10</v>
      </c>
      <c r="C906" t="s">
        <v>21</v>
      </c>
      <c r="D906">
        <v>7</v>
      </c>
      <c r="E906">
        <v>40</v>
      </c>
      <c r="F906">
        <v>0.05</v>
      </c>
      <c r="G906" t="s">
        <v>25</v>
      </c>
      <c r="H906">
        <v>280</v>
      </c>
      <c r="I906">
        <f>(Table1_1[[#This Row],[Total sales]]*Table1_1[[#This Row],[Commission]])+Table1_1[[#This Row],[Total sales]]</f>
        <v>294</v>
      </c>
    </row>
    <row r="907" spans="1:9" x14ac:dyDescent="0.3">
      <c r="A907" s="1">
        <v>43308</v>
      </c>
      <c r="B907" t="s">
        <v>23</v>
      </c>
      <c r="C907" t="s">
        <v>16</v>
      </c>
      <c r="D907">
        <v>9</v>
      </c>
      <c r="E907">
        <v>150</v>
      </c>
      <c r="F907">
        <v>0.06</v>
      </c>
      <c r="G907" t="s">
        <v>26</v>
      </c>
      <c r="H907">
        <v>1350</v>
      </c>
      <c r="I907">
        <f>(Table1_1[[#This Row],[Total sales]]*Table1_1[[#This Row],[Commission]])+Table1_1[[#This Row],[Total sales]]</f>
        <v>1431</v>
      </c>
    </row>
    <row r="908" spans="1:9" x14ac:dyDescent="0.3">
      <c r="A908" s="1">
        <v>43308</v>
      </c>
      <c r="B908" t="s">
        <v>13</v>
      </c>
      <c r="C908" t="s">
        <v>8</v>
      </c>
      <c r="D908">
        <v>20</v>
      </c>
      <c r="E908">
        <v>230</v>
      </c>
      <c r="F908">
        <v>0.04</v>
      </c>
      <c r="G908" t="s">
        <v>27</v>
      </c>
      <c r="H908">
        <v>4600</v>
      </c>
      <c r="I908">
        <f>(Table1_1[[#This Row],[Total sales]]*Table1_1[[#This Row],[Commission]])+Table1_1[[#This Row],[Total sales]]</f>
        <v>4784</v>
      </c>
    </row>
    <row r="909" spans="1:9" x14ac:dyDescent="0.3">
      <c r="A909" s="1">
        <v>43308</v>
      </c>
      <c r="B909" t="s">
        <v>23</v>
      </c>
      <c r="C909" t="s">
        <v>16</v>
      </c>
      <c r="D909">
        <v>9</v>
      </c>
      <c r="E909">
        <v>150</v>
      </c>
      <c r="F909">
        <v>0.02</v>
      </c>
      <c r="G909" t="s">
        <v>28</v>
      </c>
      <c r="H909">
        <v>1350</v>
      </c>
      <c r="I909">
        <f>(Table1_1[[#This Row],[Total sales]]*Table1_1[[#This Row],[Commission]])+Table1_1[[#This Row],[Total sales]]</f>
        <v>1377</v>
      </c>
    </row>
    <row r="910" spans="1:9" x14ac:dyDescent="0.3">
      <c r="A910" s="1">
        <v>43308</v>
      </c>
      <c r="B910" t="s">
        <v>7</v>
      </c>
      <c r="C910" t="s">
        <v>11</v>
      </c>
      <c r="D910">
        <v>5</v>
      </c>
      <c r="E910">
        <v>80</v>
      </c>
      <c r="F910">
        <v>7.0000000000000007E-2</v>
      </c>
      <c r="G910" t="s">
        <v>9</v>
      </c>
      <c r="H910">
        <v>400</v>
      </c>
      <c r="I910">
        <f>(Table1_1[[#This Row],[Total sales]]*Table1_1[[#This Row],[Commission]])+Table1_1[[#This Row],[Total sales]]</f>
        <v>428</v>
      </c>
    </row>
    <row r="911" spans="1:9" x14ac:dyDescent="0.3">
      <c r="A911" s="1">
        <v>43308</v>
      </c>
      <c r="B911" t="s">
        <v>23</v>
      </c>
      <c r="C911" t="s">
        <v>16</v>
      </c>
      <c r="D911">
        <v>20</v>
      </c>
      <c r="E911">
        <v>150</v>
      </c>
      <c r="F911">
        <v>0.04</v>
      </c>
      <c r="G911" t="s">
        <v>12</v>
      </c>
      <c r="H911">
        <v>3000</v>
      </c>
      <c r="I911">
        <f>(Table1_1[[#This Row],[Total sales]]*Table1_1[[#This Row],[Commission]])+Table1_1[[#This Row],[Total sales]]</f>
        <v>3120</v>
      </c>
    </row>
    <row r="912" spans="1:9" x14ac:dyDescent="0.3">
      <c r="A912" s="1">
        <v>43308</v>
      </c>
      <c r="B912" t="s">
        <v>23</v>
      </c>
      <c r="C912" t="s">
        <v>18</v>
      </c>
      <c r="D912">
        <v>15</v>
      </c>
      <c r="E912">
        <v>150</v>
      </c>
      <c r="F912">
        <v>0.05</v>
      </c>
      <c r="G912" t="s">
        <v>14</v>
      </c>
      <c r="H912">
        <v>2250</v>
      </c>
      <c r="I912">
        <f>(Table1_1[[#This Row],[Total sales]]*Table1_1[[#This Row],[Commission]])+Table1_1[[#This Row],[Total sales]]</f>
        <v>2362.5</v>
      </c>
    </row>
    <row r="913" spans="1:9" x14ac:dyDescent="0.3">
      <c r="A913" s="1">
        <v>43308</v>
      </c>
      <c r="B913" t="s">
        <v>7</v>
      </c>
      <c r="C913" t="s">
        <v>8</v>
      </c>
      <c r="D913">
        <v>20</v>
      </c>
      <c r="E913">
        <v>80</v>
      </c>
      <c r="F913">
        <v>0.01</v>
      </c>
      <c r="G913" t="s">
        <v>15</v>
      </c>
      <c r="H913">
        <v>1600</v>
      </c>
      <c r="I913">
        <f>(Table1_1[[#This Row],[Total sales]]*Table1_1[[#This Row],[Commission]])+Table1_1[[#This Row],[Total sales]]</f>
        <v>1616</v>
      </c>
    </row>
    <row r="914" spans="1:9" x14ac:dyDescent="0.3">
      <c r="A914" s="1">
        <v>43309</v>
      </c>
      <c r="B914" t="s">
        <v>13</v>
      </c>
      <c r="C914" t="s">
        <v>11</v>
      </c>
      <c r="D914">
        <v>12</v>
      </c>
      <c r="E914">
        <v>230</v>
      </c>
      <c r="F914">
        <v>0.03</v>
      </c>
      <c r="G914" t="s">
        <v>17</v>
      </c>
      <c r="H914">
        <v>2760</v>
      </c>
      <c r="I914">
        <f>(Table1_1[[#This Row],[Total sales]]*Table1_1[[#This Row],[Commission]])+Table1_1[[#This Row],[Total sales]]</f>
        <v>2842.8</v>
      </c>
    </row>
    <row r="915" spans="1:9" x14ac:dyDescent="0.3">
      <c r="A915" s="1">
        <v>43309</v>
      </c>
      <c r="B915" t="s">
        <v>10</v>
      </c>
      <c r="C915" t="s">
        <v>21</v>
      </c>
      <c r="D915">
        <v>20</v>
      </c>
      <c r="E915">
        <v>40</v>
      </c>
      <c r="F915">
        <v>0.05</v>
      </c>
      <c r="G915" t="s">
        <v>19</v>
      </c>
      <c r="H915">
        <v>800</v>
      </c>
      <c r="I915">
        <f>(Table1_1[[#This Row],[Total sales]]*Table1_1[[#This Row],[Commission]])+Table1_1[[#This Row],[Total sales]]</f>
        <v>840</v>
      </c>
    </row>
    <row r="916" spans="1:9" x14ac:dyDescent="0.3">
      <c r="A916" s="1">
        <v>43309</v>
      </c>
      <c r="B916" t="s">
        <v>10</v>
      </c>
      <c r="C916" t="s">
        <v>21</v>
      </c>
      <c r="D916">
        <v>4</v>
      </c>
      <c r="E916">
        <v>40</v>
      </c>
      <c r="F916">
        <v>0.09</v>
      </c>
      <c r="G916" t="s">
        <v>12</v>
      </c>
      <c r="H916">
        <v>160</v>
      </c>
      <c r="I916">
        <f>(Table1_1[[#This Row],[Total sales]]*Table1_1[[#This Row],[Commission]])+Table1_1[[#This Row],[Total sales]]</f>
        <v>174.4</v>
      </c>
    </row>
    <row r="917" spans="1:9" x14ac:dyDescent="0.3">
      <c r="A917" s="1">
        <v>43309</v>
      </c>
      <c r="B917" t="s">
        <v>20</v>
      </c>
      <c r="C917" t="s">
        <v>16</v>
      </c>
      <c r="D917">
        <v>6</v>
      </c>
      <c r="E917">
        <v>16</v>
      </c>
      <c r="F917">
        <v>7.0000000000000007E-2</v>
      </c>
      <c r="G917" t="s">
        <v>14</v>
      </c>
      <c r="H917">
        <v>96</v>
      </c>
      <c r="I917">
        <f>(Table1_1[[#This Row],[Total sales]]*Table1_1[[#This Row],[Commission]])+Table1_1[[#This Row],[Total sales]]</f>
        <v>102.72</v>
      </c>
    </row>
    <row r="918" spans="1:9" x14ac:dyDescent="0.3">
      <c r="A918" s="1">
        <v>43309</v>
      </c>
      <c r="B918" t="s">
        <v>7</v>
      </c>
      <c r="C918" t="s">
        <v>11</v>
      </c>
      <c r="D918">
        <v>13</v>
      </c>
      <c r="E918">
        <v>80</v>
      </c>
      <c r="F918">
        <v>0.06</v>
      </c>
      <c r="G918" t="s">
        <v>15</v>
      </c>
      <c r="H918">
        <v>1040</v>
      </c>
      <c r="I918">
        <f>(Table1_1[[#This Row],[Total sales]]*Table1_1[[#This Row],[Commission]])+Table1_1[[#This Row],[Total sales]]</f>
        <v>1102.4000000000001</v>
      </c>
    </row>
    <row r="919" spans="1:9" x14ac:dyDescent="0.3">
      <c r="A919" s="1">
        <v>43309</v>
      </c>
      <c r="B919" t="s">
        <v>23</v>
      </c>
      <c r="C919" t="s">
        <v>8</v>
      </c>
      <c r="D919">
        <v>4</v>
      </c>
      <c r="E919">
        <v>150</v>
      </c>
      <c r="F919">
        <v>0.1</v>
      </c>
      <c r="G919" t="s">
        <v>17</v>
      </c>
      <c r="H919">
        <v>600</v>
      </c>
      <c r="I919">
        <f>(Table1_1[[#This Row],[Total sales]]*Table1_1[[#This Row],[Commission]])+Table1_1[[#This Row],[Total sales]]</f>
        <v>660</v>
      </c>
    </row>
    <row r="920" spans="1:9" x14ac:dyDescent="0.3">
      <c r="A920" s="1">
        <v>43309</v>
      </c>
      <c r="B920" t="s">
        <v>23</v>
      </c>
      <c r="C920" t="s">
        <v>18</v>
      </c>
      <c r="D920">
        <v>9</v>
      </c>
      <c r="E920">
        <v>150</v>
      </c>
      <c r="F920">
        <v>0.02</v>
      </c>
      <c r="G920" t="s">
        <v>19</v>
      </c>
      <c r="H920">
        <v>1350</v>
      </c>
      <c r="I920">
        <f>(Table1_1[[#This Row],[Total sales]]*Table1_1[[#This Row],[Commission]])+Table1_1[[#This Row],[Total sales]]</f>
        <v>1377</v>
      </c>
    </row>
    <row r="921" spans="1:9" x14ac:dyDescent="0.3">
      <c r="A921" s="1">
        <v>43309</v>
      </c>
      <c r="B921" t="s">
        <v>23</v>
      </c>
      <c r="C921" t="s">
        <v>8</v>
      </c>
      <c r="D921">
        <v>11</v>
      </c>
      <c r="E921">
        <v>150</v>
      </c>
      <c r="F921">
        <v>0.05</v>
      </c>
      <c r="G921" t="s">
        <v>22</v>
      </c>
      <c r="H921">
        <v>1650</v>
      </c>
      <c r="I921">
        <f>(Table1_1[[#This Row],[Total sales]]*Table1_1[[#This Row],[Commission]])+Table1_1[[#This Row],[Total sales]]</f>
        <v>1732.5</v>
      </c>
    </row>
    <row r="922" spans="1:9" x14ac:dyDescent="0.3">
      <c r="A922" s="1">
        <v>43309</v>
      </c>
      <c r="B922" t="s">
        <v>20</v>
      </c>
      <c r="C922" t="s">
        <v>16</v>
      </c>
      <c r="D922">
        <v>6</v>
      </c>
      <c r="E922">
        <v>16</v>
      </c>
      <c r="F922">
        <v>0.06</v>
      </c>
      <c r="G922" t="s">
        <v>24</v>
      </c>
      <c r="H922">
        <v>96</v>
      </c>
      <c r="I922">
        <f>(Table1_1[[#This Row],[Total sales]]*Table1_1[[#This Row],[Commission]])+Table1_1[[#This Row],[Total sales]]</f>
        <v>101.76</v>
      </c>
    </row>
    <row r="923" spans="1:9" x14ac:dyDescent="0.3">
      <c r="A923" s="1">
        <v>43310</v>
      </c>
      <c r="B923" t="s">
        <v>13</v>
      </c>
      <c r="C923" t="s">
        <v>16</v>
      </c>
      <c r="D923">
        <v>14</v>
      </c>
      <c r="E923">
        <v>230</v>
      </c>
      <c r="F923">
        <v>0.12</v>
      </c>
      <c r="G923" t="s">
        <v>25</v>
      </c>
      <c r="H923">
        <v>3220</v>
      </c>
      <c r="I923">
        <f>(Table1_1[[#This Row],[Total sales]]*Table1_1[[#This Row],[Commission]])+Table1_1[[#This Row],[Total sales]]</f>
        <v>3606.4</v>
      </c>
    </row>
    <row r="924" spans="1:9" x14ac:dyDescent="0.3">
      <c r="A924" s="1">
        <v>43310</v>
      </c>
      <c r="B924" t="s">
        <v>7</v>
      </c>
      <c r="C924" t="s">
        <v>11</v>
      </c>
      <c r="D924">
        <v>15</v>
      </c>
      <c r="E924">
        <v>80</v>
      </c>
      <c r="F924">
        <v>0.12</v>
      </c>
      <c r="G924" t="s">
        <v>26</v>
      </c>
      <c r="H924">
        <v>1200</v>
      </c>
      <c r="I924">
        <f>(Table1_1[[#This Row],[Total sales]]*Table1_1[[#This Row],[Commission]])+Table1_1[[#This Row],[Total sales]]</f>
        <v>1344</v>
      </c>
    </row>
    <row r="925" spans="1:9" x14ac:dyDescent="0.3">
      <c r="A925" s="1">
        <v>43310</v>
      </c>
      <c r="B925" t="s">
        <v>13</v>
      </c>
      <c r="C925" t="s">
        <v>18</v>
      </c>
      <c r="D925">
        <v>17</v>
      </c>
      <c r="E925">
        <v>230</v>
      </c>
      <c r="F925">
        <v>0.12</v>
      </c>
      <c r="G925" t="s">
        <v>27</v>
      </c>
      <c r="H925">
        <v>3910</v>
      </c>
      <c r="I925">
        <f>(Table1_1[[#This Row],[Total sales]]*Table1_1[[#This Row],[Commission]])+Table1_1[[#This Row],[Total sales]]</f>
        <v>4379.2</v>
      </c>
    </row>
    <row r="926" spans="1:9" x14ac:dyDescent="0.3">
      <c r="A926" s="1">
        <v>43310</v>
      </c>
      <c r="B926" t="s">
        <v>23</v>
      </c>
      <c r="C926" t="s">
        <v>8</v>
      </c>
      <c r="D926">
        <v>5</v>
      </c>
      <c r="E926">
        <v>150</v>
      </c>
      <c r="F926">
        <v>0.11</v>
      </c>
      <c r="G926" t="s">
        <v>28</v>
      </c>
      <c r="H926">
        <v>750</v>
      </c>
      <c r="I926">
        <f>(Table1_1[[#This Row],[Total sales]]*Table1_1[[#This Row],[Commission]])+Table1_1[[#This Row],[Total sales]]</f>
        <v>832.5</v>
      </c>
    </row>
    <row r="927" spans="1:9" x14ac:dyDescent="0.3">
      <c r="A927" s="1">
        <v>43310</v>
      </c>
      <c r="B927" t="s">
        <v>7</v>
      </c>
      <c r="C927" t="s">
        <v>21</v>
      </c>
      <c r="D927">
        <v>10</v>
      </c>
      <c r="E927">
        <v>80</v>
      </c>
      <c r="F927">
        <v>0.06</v>
      </c>
      <c r="G927" t="s">
        <v>9</v>
      </c>
      <c r="H927">
        <v>800</v>
      </c>
      <c r="I927">
        <f>(Table1_1[[#This Row],[Total sales]]*Table1_1[[#This Row],[Commission]])+Table1_1[[#This Row],[Total sales]]</f>
        <v>848</v>
      </c>
    </row>
    <row r="928" spans="1:9" x14ac:dyDescent="0.3">
      <c r="A928" s="1">
        <v>43310</v>
      </c>
      <c r="B928" t="s">
        <v>7</v>
      </c>
      <c r="C928" t="s">
        <v>8</v>
      </c>
      <c r="D928">
        <v>9</v>
      </c>
      <c r="E928">
        <v>80</v>
      </c>
      <c r="F928">
        <v>0.04</v>
      </c>
      <c r="G928" t="s">
        <v>12</v>
      </c>
      <c r="H928">
        <v>720</v>
      </c>
      <c r="I928">
        <f>(Table1_1[[#This Row],[Total sales]]*Table1_1[[#This Row],[Commission]])+Table1_1[[#This Row],[Total sales]]</f>
        <v>748.8</v>
      </c>
    </row>
    <row r="929" spans="1:9" x14ac:dyDescent="0.3">
      <c r="A929" s="1">
        <v>43310</v>
      </c>
      <c r="B929" t="s">
        <v>10</v>
      </c>
      <c r="C929" t="s">
        <v>21</v>
      </c>
      <c r="D929">
        <v>16</v>
      </c>
      <c r="E929">
        <v>40</v>
      </c>
      <c r="F929">
        <v>0.09</v>
      </c>
      <c r="G929" t="s">
        <v>14</v>
      </c>
      <c r="H929">
        <v>640</v>
      </c>
      <c r="I929">
        <f>(Table1_1[[#This Row],[Total sales]]*Table1_1[[#This Row],[Commission]])+Table1_1[[#This Row],[Total sales]]</f>
        <v>697.6</v>
      </c>
    </row>
    <row r="930" spans="1:9" x14ac:dyDescent="0.3">
      <c r="A930" s="1">
        <v>43310</v>
      </c>
      <c r="B930" t="s">
        <v>13</v>
      </c>
      <c r="C930" t="s">
        <v>8</v>
      </c>
      <c r="D930">
        <v>7</v>
      </c>
      <c r="E930">
        <v>230</v>
      </c>
      <c r="F930">
        <v>0.08</v>
      </c>
      <c r="G930" t="s">
        <v>15</v>
      </c>
      <c r="H930">
        <v>1610</v>
      </c>
      <c r="I930">
        <f>(Table1_1[[#This Row],[Total sales]]*Table1_1[[#This Row],[Commission]])+Table1_1[[#This Row],[Total sales]]</f>
        <v>1738.8</v>
      </c>
    </row>
    <row r="931" spans="1:9" x14ac:dyDescent="0.3">
      <c r="A931" s="1">
        <v>43310</v>
      </c>
      <c r="B931" t="s">
        <v>7</v>
      </c>
      <c r="C931" t="s">
        <v>18</v>
      </c>
      <c r="D931">
        <v>17</v>
      </c>
      <c r="E931">
        <v>80</v>
      </c>
      <c r="F931">
        <v>0.05</v>
      </c>
      <c r="G931" t="s">
        <v>17</v>
      </c>
      <c r="H931">
        <v>1360</v>
      </c>
      <c r="I931">
        <f>(Table1_1[[#This Row],[Total sales]]*Table1_1[[#This Row],[Commission]])+Table1_1[[#This Row],[Total sales]]</f>
        <v>1428</v>
      </c>
    </row>
    <row r="932" spans="1:9" x14ac:dyDescent="0.3">
      <c r="A932" s="1">
        <v>43310</v>
      </c>
      <c r="B932" t="s">
        <v>13</v>
      </c>
      <c r="C932" t="s">
        <v>8</v>
      </c>
      <c r="D932">
        <v>11</v>
      </c>
      <c r="E932">
        <v>230</v>
      </c>
      <c r="F932">
        <v>0.02</v>
      </c>
      <c r="G932" t="s">
        <v>19</v>
      </c>
      <c r="H932">
        <v>2530</v>
      </c>
      <c r="I932">
        <f>(Table1_1[[#This Row],[Total sales]]*Table1_1[[#This Row],[Commission]])+Table1_1[[#This Row],[Total sales]]</f>
        <v>2580.6</v>
      </c>
    </row>
    <row r="933" spans="1:9" x14ac:dyDescent="0.3">
      <c r="A933" s="1">
        <v>43311</v>
      </c>
      <c r="B933" t="s">
        <v>10</v>
      </c>
      <c r="C933" t="s">
        <v>8</v>
      </c>
      <c r="D933">
        <v>15</v>
      </c>
      <c r="E933">
        <v>40</v>
      </c>
      <c r="F933">
        <v>0.06</v>
      </c>
      <c r="G933" t="s">
        <v>12</v>
      </c>
      <c r="H933">
        <v>600</v>
      </c>
      <c r="I933">
        <f>(Table1_1[[#This Row],[Total sales]]*Table1_1[[#This Row],[Commission]])+Table1_1[[#This Row],[Total sales]]</f>
        <v>636</v>
      </c>
    </row>
    <row r="934" spans="1:9" x14ac:dyDescent="0.3">
      <c r="A934" s="1">
        <v>43312</v>
      </c>
      <c r="B934" t="s">
        <v>13</v>
      </c>
      <c r="C934" t="s">
        <v>8</v>
      </c>
      <c r="D934">
        <v>7</v>
      </c>
      <c r="E934">
        <v>230</v>
      </c>
      <c r="F934">
        <v>0.02</v>
      </c>
      <c r="G934" t="s">
        <v>14</v>
      </c>
      <c r="H934">
        <v>1610</v>
      </c>
      <c r="I934">
        <f>(Table1_1[[#This Row],[Total sales]]*Table1_1[[#This Row],[Commission]])+Table1_1[[#This Row],[Total sales]]</f>
        <v>1642.2</v>
      </c>
    </row>
    <row r="935" spans="1:9" x14ac:dyDescent="0.3">
      <c r="A935" s="1">
        <v>43312</v>
      </c>
      <c r="B935" t="s">
        <v>7</v>
      </c>
      <c r="C935" t="s">
        <v>16</v>
      </c>
      <c r="D935">
        <v>20</v>
      </c>
      <c r="E935">
        <v>80</v>
      </c>
      <c r="F935">
        <v>7.0000000000000007E-2</v>
      </c>
      <c r="G935" t="s">
        <v>15</v>
      </c>
      <c r="H935">
        <v>1600</v>
      </c>
      <c r="I935">
        <f>(Table1_1[[#This Row],[Total sales]]*Table1_1[[#This Row],[Commission]])+Table1_1[[#This Row],[Total sales]]</f>
        <v>1712</v>
      </c>
    </row>
    <row r="936" spans="1:9" x14ac:dyDescent="0.3">
      <c r="A936" s="1">
        <v>43312</v>
      </c>
      <c r="B936" t="s">
        <v>7</v>
      </c>
      <c r="C936" t="s">
        <v>11</v>
      </c>
      <c r="D936">
        <v>3</v>
      </c>
      <c r="E936">
        <v>80</v>
      </c>
      <c r="F936">
        <v>0.02</v>
      </c>
      <c r="G936" t="s">
        <v>17</v>
      </c>
      <c r="H936">
        <v>240</v>
      </c>
      <c r="I936">
        <f>(Table1_1[[#This Row],[Total sales]]*Table1_1[[#This Row],[Commission]])+Table1_1[[#This Row],[Total sales]]</f>
        <v>244.8</v>
      </c>
    </row>
    <row r="937" spans="1:9" x14ac:dyDescent="0.3">
      <c r="A937" s="1">
        <v>43312</v>
      </c>
      <c r="B937" t="s">
        <v>23</v>
      </c>
      <c r="C937" t="s">
        <v>16</v>
      </c>
      <c r="D937">
        <v>2</v>
      </c>
      <c r="E937">
        <v>150</v>
      </c>
      <c r="F937">
        <v>0.02</v>
      </c>
      <c r="G937" t="s">
        <v>19</v>
      </c>
      <c r="H937">
        <v>300</v>
      </c>
      <c r="I937">
        <f>(Table1_1[[#This Row],[Total sales]]*Table1_1[[#This Row],[Commission]])+Table1_1[[#This Row],[Total sales]]</f>
        <v>306</v>
      </c>
    </row>
    <row r="938" spans="1:9" x14ac:dyDescent="0.3">
      <c r="A938" s="1">
        <v>43312</v>
      </c>
      <c r="B938" t="s">
        <v>23</v>
      </c>
      <c r="C938" t="s">
        <v>16</v>
      </c>
      <c r="D938">
        <v>22</v>
      </c>
      <c r="E938">
        <v>150</v>
      </c>
      <c r="F938">
        <v>0.09</v>
      </c>
      <c r="G938" t="s">
        <v>22</v>
      </c>
      <c r="H938">
        <v>3300</v>
      </c>
      <c r="I938">
        <f>(Table1_1[[#This Row],[Total sales]]*Table1_1[[#This Row],[Commission]])+Table1_1[[#This Row],[Total sales]]</f>
        <v>3597</v>
      </c>
    </row>
    <row r="939" spans="1:9" x14ac:dyDescent="0.3">
      <c r="A939" s="1">
        <v>43312</v>
      </c>
      <c r="B939" t="s">
        <v>13</v>
      </c>
      <c r="C939" t="s">
        <v>8</v>
      </c>
      <c r="D939">
        <v>5</v>
      </c>
      <c r="E939">
        <v>230</v>
      </c>
      <c r="F939">
        <v>0.1</v>
      </c>
      <c r="G939" t="s">
        <v>24</v>
      </c>
      <c r="H939">
        <v>1150</v>
      </c>
      <c r="I939">
        <f>(Table1_1[[#This Row],[Total sales]]*Table1_1[[#This Row],[Commission]])+Table1_1[[#This Row],[Total sales]]</f>
        <v>1265</v>
      </c>
    </row>
    <row r="940" spans="1:9" x14ac:dyDescent="0.3">
      <c r="A940" s="1">
        <v>43312</v>
      </c>
      <c r="B940" t="s">
        <v>20</v>
      </c>
      <c r="C940" t="s">
        <v>21</v>
      </c>
      <c r="D940">
        <v>12</v>
      </c>
      <c r="E940">
        <v>16</v>
      </c>
      <c r="F940">
        <v>0.04</v>
      </c>
      <c r="G940" t="s">
        <v>25</v>
      </c>
      <c r="H940">
        <v>192</v>
      </c>
      <c r="I940">
        <f>(Table1_1[[#This Row],[Total sales]]*Table1_1[[#This Row],[Commission]])+Table1_1[[#This Row],[Total sales]]</f>
        <v>199.68</v>
      </c>
    </row>
    <row r="941" spans="1:9" x14ac:dyDescent="0.3">
      <c r="A941" s="1">
        <v>43312</v>
      </c>
      <c r="B941" t="s">
        <v>10</v>
      </c>
      <c r="C941" t="s">
        <v>18</v>
      </c>
      <c r="D941">
        <v>6</v>
      </c>
      <c r="E941">
        <v>40</v>
      </c>
      <c r="F941">
        <v>7.0000000000000007E-2</v>
      </c>
      <c r="G941" t="s">
        <v>26</v>
      </c>
      <c r="H941">
        <v>240</v>
      </c>
      <c r="I941">
        <f>(Table1_1[[#This Row],[Total sales]]*Table1_1[[#This Row],[Commission]])+Table1_1[[#This Row],[Total sales]]</f>
        <v>256.8</v>
      </c>
    </row>
    <row r="942" spans="1:9" x14ac:dyDescent="0.3">
      <c r="A942" s="1">
        <v>43312</v>
      </c>
      <c r="B942" t="s">
        <v>20</v>
      </c>
      <c r="C942" t="s">
        <v>21</v>
      </c>
      <c r="D942">
        <v>15</v>
      </c>
      <c r="E942">
        <v>16</v>
      </c>
      <c r="F942">
        <v>0.01</v>
      </c>
      <c r="G942" t="s">
        <v>27</v>
      </c>
      <c r="H942">
        <v>240</v>
      </c>
      <c r="I942">
        <f>(Table1_1[[#This Row],[Total sales]]*Table1_1[[#This Row],[Commission]])+Table1_1[[#This Row],[Total sales]]</f>
        <v>242.4</v>
      </c>
    </row>
    <row r="943" spans="1:9" x14ac:dyDescent="0.3">
      <c r="A943" s="1">
        <v>43282</v>
      </c>
      <c r="B943" t="s">
        <v>23</v>
      </c>
      <c r="C943" t="s">
        <v>21</v>
      </c>
      <c r="D943">
        <v>13</v>
      </c>
      <c r="E943">
        <v>150</v>
      </c>
      <c r="F943">
        <v>0.11</v>
      </c>
      <c r="G943" t="s">
        <v>28</v>
      </c>
      <c r="H943">
        <v>1950</v>
      </c>
      <c r="I943">
        <f>(Table1_1[[#This Row],[Total sales]]*Table1_1[[#This Row],[Commission]])+Table1_1[[#This Row],[Total sales]]</f>
        <v>2164.5</v>
      </c>
    </row>
    <row r="944" spans="1:9" x14ac:dyDescent="0.3">
      <c r="A944" s="1">
        <v>43282</v>
      </c>
      <c r="B944" t="s">
        <v>10</v>
      </c>
      <c r="C944" t="s">
        <v>11</v>
      </c>
      <c r="D944">
        <v>8</v>
      </c>
      <c r="E944">
        <v>40</v>
      </c>
      <c r="F944">
        <v>0.09</v>
      </c>
      <c r="G944" t="s">
        <v>9</v>
      </c>
      <c r="H944">
        <v>320</v>
      </c>
      <c r="I944">
        <f>(Table1_1[[#This Row],[Total sales]]*Table1_1[[#This Row],[Commission]])+Table1_1[[#This Row],[Total sales]]</f>
        <v>348.8</v>
      </c>
    </row>
    <row r="945" spans="1:9" x14ac:dyDescent="0.3">
      <c r="A945" s="1">
        <v>43282</v>
      </c>
      <c r="B945" t="s">
        <v>10</v>
      </c>
      <c r="C945" t="s">
        <v>18</v>
      </c>
      <c r="D945">
        <v>7</v>
      </c>
      <c r="E945">
        <v>40</v>
      </c>
      <c r="F945">
        <v>7.0000000000000007E-2</v>
      </c>
      <c r="G945" t="s">
        <v>12</v>
      </c>
      <c r="H945">
        <v>280</v>
      </c>
      <c r="I945">
        <f>(Table1_1[[#This Row],[Total sales]]*Table1_1[[#This Row],[Commission]])+Table1_1[[#This Row],[Total sales]]</f>
        <v>299.60000000000002</v>
      </c>
    </row>
    <row r="946" spans="1:9" x14ac:dyDescent="0.3">
      <c r="A946" s="1">
        <v>43282</v>
      </c>
      <c r="B946" t="s">
        <v>10</v>
      </c>
      <c r="C946" t="s">
        <v>11</v>
      </c>
      <c r="D946">
        <v>18</v>
      </c>
      <c r="E946">
        <v>40</v>
      </c>
      <c r="F946">
        <v>0.08</v>
      </c>
      <c r="G946" t="s">
        <v>14</v>
      </c>
      <c r="H946">
        <v>720</v>
      </c>
      <c r="I946">
        <f>(Table1_1[[#This Row],[Total sales]]*Table1_1[[#This Row],[Commission]])+Table1_1[[#This Row],[Total sales]]</f>
        <v>777.6</v>
      </c>
    </row>
    <row r="947" spans="1:9" x14ac:dyDescent="0.3">
      <c r="A947" s="1">
        <v>43282</v>
      </c>
      <c r="B947" t="s">
        <v>13</v>
      </c>
      <c r="C947" t="s">
        <v>18</v>
      </c>
      <c r="D947">
        <v>19</v>
      </c>
      <c r="E947">
        <v>230</v>
      </c>
      <c r="F947">
        <v>0.06</v>
      </c>
      <c r="G947" t="s">
        <v>15</v>
      </c>
      <c r="H947">
        <v>4370</v>
      </c>
      <c r="I947">
        <f>(Table1_1[[#This Row],[Total sales]]*Table1_1[[#This Row],[Commission]])+Table1_1[[#This Row],[Total sales]]</f>
        <v>4632.2</v>
      </c>
    </row>
    <row r="948" spans="1:9" x14ac:dyDescent="0.3">
      <c r="A948" s="1">
        <v>43282</v>
      </c>
      <c r="B948" t="s">
        <v>23</v>
      </c>
      <c r="C948" t="s">
        <v>8</v>
      </c>
      <c r="D948">
        <v>4</v>
      </c>
      <c r="E948">
        <v>150</v>
      </c>
      <c r="F948">
        <v>0.1</v>
      </c>
      <c r="G948" t="s">
        <v>17</v>
      </c>
      <c r="H948">
        <v>600</v>
      </c>
      <c r="I948">
        <f>(Table1_1[[#This Row],[Total sales]]*Table1_1[[#This Row],[Commission]])+Table1_1[[#This Row],[Total sales]]</f>
        <v>660</v>
      </c>
    </row>
    <row r="949" spans="1:9" x14ac:dyDescent="0.3">
      <c r="A949" s="1">
        <v>43283</v>
      </c>
      <c r="B949" t="s">
        <v>7</v>
      </c>
      <c r="C949" t="s">
        <v>21</v>
      </c>
      <c r="D949">
        <v>9</v>
      </c>
      <c r="E949">
        <v>80</v>
      </c>
      <c r="F949">
        <v>0.06</v>
      </c>
      <c r="G949" t="s">
        <v>19</v>
      </c>
      <c r="H949">
        <v>720</v>
      </c>
      <c r="I949">
        <f>(Table1_1[[#This Row],[Total sales]]*Table1_1[[#This Row],[Commission]])+Table1_1[[#This Row],[Total sales]]</f>
        <v>763.2</v>
      </c>
    </row>
    <row r="950" spans="1:9" x14ac:dyDescent="0.3">
      <c r="A950" s="1">
        <v>43283</v>
      </c>
      <c r="B950" t="s">
        <v>7</v>
      </c>
      <c r="C950" t="s">
        <v>16</v>
      </c>
      <c r="D950">
        <v>16</v>
      </c>
      <c r="E950">
        <v>80</v>
      </c>
      <c r="F950">
        <v>0.02</v>
      </c>
      <c r="G950" t="s">
        <v>12</v>
      </c>
      <c r="H950">
        <v>1280</v>
      </c>
      <c r="I950">
        <f>(Table1_1[[#This Row],[Total sales]]*Table1_1[[#This Row],[Commission]])+Table1_1[[#This Row],[Total sales]]</f>
        <v>1305.5999999999999</v>
      </c>
    </row>
    <row r="951" spans="1:9" x14ac:dyDescent="0.3">
      <c r="A951" s="1">
        <v>43283</v>
      </c>
      <c r="B951" t="s">
        <v>13</v>
      </c>
      <c r="C951" t="s">
        <v>11</v>
      </c>
      <c r="D951">
        <v>15</v>
      </c>
      <c r="E951">
        <v>230</v>
      </c>
      <c r="F951">
        <v>0.09</v>
      </c>
      <c r="G951" t="s">
        <v>14</v>
      </c>
      <c r="H951">
        <v>3450</v>
      </c>
      <c r="I951">
        <f>(Table1_1[[#This Row],[Total sales]]*Table1_1[[#This Row],[Commission]])+Table1_1[[#This Row],[Total sales]]</f>
        <v>3760.5</v>
      </c>
    </row>
    <row r="952" spans="1:9" x14ac:dyDescent="0.3">
      <c r="A952" s="1">
        <v>43283</v>
      </c>
      <c r="B952" t="s">
        <v>20</v>
      </c>
      <c r="C952" t="s">
        <v>21</v>
      </c>
      <c r="D952">
        <v>15</v>
      </c>
      <c r="E952">
        <v>16</v>
      </c>
      <c r="F952">
        <v>0.01</v>
      </c>
      <c r="G952" t="s">
        <v>15</v>
      </c>
      <c r="H952">
        <v>240</v>
      </c>
      <c r="I952">
        <f>(Table1_1[[#This Row],[Total sales]]*Table1_1[[#This Row],[Commission]])+Table1_1[[#This Row],[Total sales]]</f>
        <v>242.4</v>
      </c>
    </row>
    <row r="953" spans="1:9" x14ac:dyDescent="0.3">
      <c r="A953" s="1">
        <v>43283</v>
      </c>
      <c r="B953" t="s">
        <v>13</v>
      </c>
      <c r="C953" t="s">
        <v>8</v>
      </c>
      <c r="D953">
        <v>7</v>
      </c>
      <c r="E953">
        <v>230</v>
      </c>
      <c r="F953">
        <v>0.02</v>
      </c>
      <c r="G953" t="s">
        <v>17</v>
      </c>
      <c r="H953">
        <v>1610</v>
      </c>
      <c r="I953">
        <f>(Table1_1[[#This Row],[Total sales]]*Table1_1[[#This Row],[Commission]])+Table1_1[[#This Row],[Total sales]]</f>
        <v>1642.2</v>
      </c>
    </row>
    <row r="954" spans="1:9" x14ac:dyDescent="0.3">
      <c r="A954" s="1">
        <v>43283</v>
      </c>
      <c r="B954" t="s">
        <v>20</v>
      </c>
      <c r="C954" t="s">
        <v>16</v>
      </c>
      <c r="D954">
        <v>23</v>
      </c>
      <c r="E954">
        <v>16</v>
      </c>
      <c r="F954">
        <v>0.11</v>
      </c>
      <c r="G954" t="s">
        <v>19</v>
      </c>
      <c r="H954">
        <v>368</v>
      </c>
      <c r="I954">
        <f>(Table1_1[[#This Row],[Total sales]]*Table1_1[[#This Row],[Commission]])+Table1_1[[#This Row],[Total sales]]</f>
        <v>408.48</v>
      </c>
    </row>
    <row r="955" spans="1:9" x14ac:dyDescent="0.3">
      <c r="A955" s="1">
        <v>43283</v>
      </c>
      <c r="B955" t="s">
        <v>10</v>
      </c>
      <c r="C955" t="s">
        <v>21</v>
      </c>
      <c r="D955">
        <v>20</v>
      </c>
      <c r="E955">
        <v>40</v>
      </c>
      <c r="F955">
        <v>0.05</v>
      </c>
      <c r="G955" t="s">
        <v>22</v>
      </c>
      <c r="H955">
        <v>800</v>
      </c>
      <c r="I955">
        <f>(Table1_1[[#This Row],[Total sales]]*Table1_1[[#This Row],[Commission]])+Table1_1[[#This Row],[Total sales]]</f>
        <v>840</v>
      </c>
    </row>
    <row r="956" spans="1:9" x14ac:dyDescent="0.3">
      <c r="A956" s="1">
        <v>43284</v>
      </c>
      <c r="B956" t="s">
        <v>13</v>
      </c>
      <c r="C956" t="s">
        <v>11</v>
      </c>
      <c r="D956">
        <v>9</v>
      </c>
      <c r="E956">
        <v>230</v>
      </c>
      <c r="F956">
        <v>0.03</v>
      </c>
      <c r="G956" t="s">
        <v>24</v>
      </c>
      <c r="H956">
        <v>2070</v>
      </c>
      <c r="I956">
        <f>(Table1_1[[#This Row],[Total sales]]*Table1_1[[#This Row],[Commission]])+Table1_1[[#This Row],[Total sales]]</f>
        <v>2132.1</v>
      </c>
    </row>
    <row r="957" spans="1:9" x14ac:dyDescent="0.3">
      <c r="A957" s="1">
        <v>43284</v>
      </c>
      <c r="B957" t="s">
        <v>10</v>
      </c>
      <c r="C957" t="s">
        <v>18</v>
      </c>
      <c r="D957">
        <v>23</v>
      </c>
      <c r="E957">
        <v>40</v>
      </c>
      <c r="F957">
        <v>0.06</v>
      </c>
      <c r="G957" t="s">
        <v>25</v>
      </c>
      <c r="H957">
        <v>920</v>
      </c>
      <c r="I957">
        <f>(Table1_1[[#This Row],[Total sales]]*Table1_1[[#This Row],[Commission]])+Table1_1[[#This Row],[Total sales]]</f>
        <v>975.2</v>
      </c>
    </row>
    <row r="958" spans="1:9" x14ac:dyDescent="0.3">
      <c r="A958" s="1">
        <v>43284</v>
      </c>
      <c r="B958" t="s">
        <v>10</v>
      </c>
      <c r="C958" t="s">
        <v>18</v>
      </c>
      <c r="D958">
        <v>4</v>
      </c>
      <c r="E958">
        <v>40</v>
      </c>
      <c r="F958">
        <v>0.05</v>
      </c>
      <c r="G958" t="s">
        <v>26</v>
      </c>
      <c r="H958">
        <v>160</v>
      </c>
      <c r="I958">
        <f>(Table1_1[[#This Row],[Total sales]]*Table1_1[[#This Row],[Commission]])+Table1_1[[#This Row],[Total sales]]</f>
        <v>168</v>
      </c>
    </row>
    <row r="959" spans="1:9" x14ac:dyDescent="0.3">
      <c r="A959" s="1">
        <v>43284</v>
      </c>
      <c r="B959" t="s">
        <v>23</v>
      </c>
      <c r="C959" t="s">
        <v>8</v>
      </c>
      <c r="D959">
        <v>13</v>
      </c>
      <c r="E959">
        <v>150</v>
      </c>
      <c r="F959">
        <v>0.05</v>
      </c>
      <c r="G959" t="s">
        <v>27</v>
      </c>
      <c r="H959">
        <v>1950</v>
      </c>
      <c r="I959">
        <f>(Table1_1[[#This Row],[Total sales]]*Table1_1[[#This Row],[Commission]])+Table1_1[[#This Row],[Total sales]]</f>
        <v>2047.5</v>
      </c>
    </row>
    <row r="960" spans="1:9" x14ac:dyDescent="0.3">
      <c r="A960" s="1">
        <v>43284</v>
      </c>
      <c r="B960" t="s">
        <v>13</v>
      </c>
      <c r="C960" t="s">
        <v>11</v>
      </c>
      <c r="D960">
        <v>7</v>
      </c>
      <c r="E960">
        <v>230</v>
      </c>
      <c r="F960">
        <v>0.01</v>
      </c>
      <c r="G960" t="s">
        <v>28</v>
      </c>
      <c r="H960">
        <v>1610</v>
      </c>
      <c r="I960">
        <f>(Table1_1[[#This Row],[Total sales]]*Table1_1[[#This Row],[Commission]])+Table1_1[[#This Row],[Total sales]]</f>
        <v>1626.1</v>
      </c>
    </row>
    <row r="961" spans="1:9" x14ac:dyDescent="0.3">
      <c r="A961" s="1">
        <v>43284</v>
      </c>
      <c r="B961" t="s">
        <v>13</v>
      </c>
      <c r="C961" t="s">
        <v>11</v>
      </c>
      <c r="D961">
        <v>7</v>
      </c>
      <c r="E961">
        <v>230</v>
      </c>
      <c r="F961">
        <v>0.08</v>
      </c>
      <c r="G961" t="s">
        <v>9</v>
      </c>
      <c r="H961">
        <v>1610</v>
      </c>
      <c r="I961">
        <f>(Table1_1[[#This Row],[Total sales]]*Table1_1[[#This Row],[Commission]])+Table1_1[[#This Row],[Total sales]]</f>
        <v>1738.8</v>
      </c>
    </row>
    <row r="962" spans="1:9" x14ac:dyDescent="0.3">
      <c r="A962" s="1">
        <v>43284</v>
      </c>
      <c r="B962" t="s">
        <v>13</v>
      </c>
      <c r="C962" t="s">
        <v>16</v>
      </c>
      <c r="D962">
        <v>15</v>
      </c>
      <c r="E962">
        <v>230</v>
      </c>
      <c r="F962">
        <v>0.04</v>
      </c>
      <c r="G962" t="s">
        <v>12</v>
      </c>
      <c r="H962">
        <v>3450</v>
      </c>
      <c r="I962">
        <f>(Table1_1[[#This Row],[Total sales]]*Table1_1[[#This Row],[Commission]])+Table1_1[[#This Row],[Total sales]]</f>
        <v>3588</v>
      </c>
    </row>
    <row r="963" spans="1:9" x14ac:dyDescent="0.3">
      <c r="A963" s="1">
        <v>43284</v>
      </c>
      <c r="B963" t="s">
        <v>10</v>
      </c>
      <c r="C963" t="s">
        <v>18</v>
      </c>
      <c r="D963">
        <v>15</v>
      </c>
      <c r="E963">
        <v>40</v>
      </c>
      <c r="F963">
        <v>0.03</v>
      </c>
      <c r="G963" t="s">
        <v>14</v>
      </c>
      <c r="H963">
        <v>600</v>
      </c>
      <c r="I963">
        <f>(Table1_1[[#This Row],[Total sales]]*Table1_1[[#This Row],[Commission]])+Table1_1[[#This Row],[Total sales]]</f>
        <v>618</v>
      </c>
    </row>
    <row r="964" spans="1:9" x14ac:dyDescent="0.3">
      <c r="A964" s="1">
        <v>43284</v>
      </c>
      <c r="B964" t="s">
        <v>10</v>
      </c>
      <c r="C964" t="s">
        <v>16</v>
      </c>
      <c r="D964">
        <v>2</v>
      </c>
      <c r="E964">
        <v>40</v>
      </c>
      <c r="F964">
        <v>0.03</v>
      </c>
      <c r="G964" t="s">
        <v>15</v>
      </c>
      <c r="H964">
        <v>80</v>
      </c>
      <c r="I964">
        <f>(Table1_1[[#This Row],[Total sales]]*Table1_1[[#This Row],[Commission]])+Table1_1[[#This Row],[Total sales]]</f>
        <v>82.4</v>
      </c>
    </row>
    <row r="965" spans="1:9" x14ac:dyDescent="0.3">
      <c r="A965" s="1">
        <v>43284</v>
      </c>
      <c r="B965" t="s">
        <v>23</v>
      </c>
      <c r="C965" t="s">
        <v>16</v>
      </c>
      <c r="D965">
        <v>2</v>
      </c>
      <c r="E965">
        <v>150</v>
      </c>
      <c r="F965">
        <v>0.02</v>
      </c>
      <c r="G965" t="s">
        <v>17</v>
      </c>
      <c r="H965">
        <v>300</v>
      </c>
      <c r="I965">
        <f>(Table1_1[[#This Row],[Total sales]]*Table1_1[[#This Row],[Commission]])+Table1_1[[#This Row],[Total sales]]</f>
        <v>306</v>
      </c>
    </row>
    <row r="966" spans="1:9" x14ac:dyDescent="0.3">
      <c r="A966" s="1">
        <v>43285</v>
      </c>
      <c r="B966" t="s">
        <v>13</v>
      </c>
      <c r="C966" t="s">
        <v>8</v>
      </c>
      <c r="D966">
        <v>3</v>
      </c>
      <c r="E966">
        <v>230</v>
      </c>
      <c r="F966">
        <v>0.11</v>
      </c>
      <c r="G966" t="s">
        <v>19</v>
      </c>
      <c r="H966">
        <v>690</v>
      </c>
      <c r="I966">
        <f>(Table1_1[[#This Row],[Total sales]]*Table1_1[[#This Row],[Commission]])+Table1_1[[#This Row],[Total sales]]</f>
        <v>765.9</v>
      </c>
    </row>
    <row r="967" spans="1:9" x14ac:dyDescent="0.3">
      <c r="A967" s="1">
        <v>43285</v>
      </c>
      <c r="B967" t="s">
        <v>10</v>
      </c>
      <c r="C967" t="s">
        <v>16</v>
      </c>
      <c r="D967">
        <v>4</v>
      </c>
      <c r="E967">
        <v>40</v>
      </c>
      <c r="F967">
        <v>0.06</v>
      </c>
      <c r="G967" t="s">
        <v>12</v>
      </c>
      <c r="H967">
        <v>160</v>
      </c>
      <c r="I967">
        <f>(Table1_1[[#This Row],[Total sales]]*Table1_1[[#This Row],[Commission]])+Table1_1[[#This Row],[Total sales]]</f>
        <v>169.6</v>
      </c>
    </row>
    <row r="968" spans="1:9" x14ac:dyDescent="0.3">
      <c r="A968" s="1">
        <v>43285</v>
      </c>
      <c r="B968" t="s">
        <v>10</v>
      </c>
      <c r="C968" t="s">
        <v>18</v>
      </c>
      <c r="D968">
        <v>13</v>
      </c>
      <c r="E968">
        <v>40</v>
      </c>
      <c r="F968">
        <v>0.06</v>
      </c>
      <c r="G968" t="s">
        <v>14</v>
      </c>
      <c r="H968">
        <v>520</v>
      </c>
      <c r="I968">
        <f>(Table1_1[[#This Row],[Total sales]]*Table1_1[[#This Row],[Commission]])+Table1_1[[#This Row],[Total sales]]</f>
        <v>551.20000000000005</v>
      </c>
    </row>
    <row r="969" spans="1:9" x14ac:dyDescent="0.3">
      <c r="A969" s="1">
        <v>43285</v>
      </c>
      <c r="B969" t="s">
        <v>20</v>
      </c>
      <c r="C969" t="s">
        <v>18</v>
      </c>
      <c r="D969">
        <v>15</v>
      </c>
      <c r="E969">
        <v>16</v>
      </c>
      <c r="F969">
        <v>0.12</v>
      </c>
      <c r="G969" t="s">
        <v>15</v>
      </c>
      <c r="H969">
        <v>240</v>
      </c>
      <c r="I969">
        <f>(Table1_1[[#This Row],[Total sales]]*Table1_1[[#This Row],[Commission]])+Table1_1[[#This Row],[Total sales]]</f>
        <v>268.8</v>
      </c>
    </row>
    <row r="970" spans="1:9" x14ac:dyDescent="0.3">
      <c r="A970" s="1">
        <v>43285</v>
      </c>
      <c r="B970" t="s">
        <v>7</v>
      </c>
      <c r="C970" t="s">
        <v>8</v>
      </c>
      <c r="D970">
        <v>14</v>
      </c>
      <c r="E970">
        <v>80</v>
      </c>
      <c r="F970">
        <v>0.08</v>
      </c>
      <c r="G970" t="s">
        <v>17</v>
      </c>
      <c r="H970">
        <v>1120</v>
      </c>
      <c r="I970">
        <f>(Table1_1[[#This Row],[Total sales]]*Table1_1[[#This Row],[Commission]])+Table1_1[[#This Row],[Total sales]]</f>
        <v>1209.5999999999999</v>
      </c>
    </row>
    <row r="971" spans="1:9" x14ac:dyDescent="0.3">
      <c r="A971" s="1">
        <v>43285</v>
      </c>
      <c r="B971" t="s">
        <v>20</v>
      </c>
      <c r="C971" t="s">
        <v>8</v>
      </c>
      <c r="D971">
        <v>7</v>
      </c>
      <c r="E971">
        <v>16</v>
      </c>
      <c r="F971">
        <v>0.08</v>
      </c>
      <c r="G971" t="s">
        <v>19</v>
      </c>
      <c r="H971">
        <v>112</v>
      </c>
      <c r="I971">
        <f>(Table1_1[[#This Row],[Total sales]]*Table1_1[[#This Row],[Commission]])+Table1_1[[#This Row],[Total sales]]</f>
        <v>120.96000000000001</v>
      </c>
    </row>
    <row r="972" spans="1:9" x14ac:dyDescent="0.3">
      <c r="A972" s="1">
        <v>43285</v>
      </c>
      <c r="B972" t="s">
        <v>23</v>
      </c>
      <c r="C972" t="s">
        <v>11</v>
      </c>
      <c r="D972">
        <v>13</v>
      </c>
      <c r="E972">
        <v>150</v>
      </c>
      <c r="F972">
        <v>0.02</v>
      </c>
      <c r="G972" t="s">
        <v>22</v>
      </c>
      <c r="H972">
        <v>1950</v>
      </c>
      <c r="I972">
        <f>(Table1_1[[#This Row],[Total sales]]*Table1_1[[#This Row],[Commission]])+Table1_1[[#This Row],[Total sales]]</f>
        <v>1989</v>
      </c>
    </row>
    <row r="973" spans="1:9" x14ac:dyDescent="0.3">
      <c r="A973" s="1">
        <v>43285</v>
      </c>
      <c r="B973" t="s">
        <v>23</v>
      </c>
      <c r="C973" t="s">
        <v>16</v>
      </c>
      <c r="D973">
        <v>9</v>
      </c>
      <c r="E973">
        <v>150</v>
      </c>
      <c r="F973">
        <v>0.02</v>
      </c>
      <c r="G973" t="s">
        <v>24</v>
      </c>
      <c r="H973">
        <v>1350</v>
      </c>
      <c r="I973">
        <f>(Table1_1[[#This Row],[Total sales]]*Table1_1[[#This Row],[Commission]])+Table1_1[[#This Row],[Total sales]]</f>
        <v>1377</v>
      </c>
    </row>
    <row r="974" spans="1:9" x14ac:dyDescent="0.3">
      <c r="A974" s="1">
        <v>43285</v>
      </c>
      <c r="B974" t="s">
        <v>10</v>
      </c>
      <c r="C974" t="s">
        <v>8</v>
      </c>
      <c r="D974">
        <v>9</v>
      </c>
      <c r="E974">
        <v>40</v>
      </c>
      <c r="F974">
        <v>0.01</v>
      </c>
      <c r="G974" t="s">
        <v>25</v>
      </c>
      <c r="H974">
        <v>360</v>
      </c>
      <c r="I974">
        <f>(Table1_1[[#This Row],[Total sales]]*Table1_1[[#This Row],[Commission]])+Table1_1[[#This Row],[Total sales]]</f>
        <v>363.6</v>
      </c>
    </row>
    <row r="975" spans="1:9" x14ac:dyDescent="0.3">
      <c r="A975" s="1">
        <v>43286</v>
      </c>
      <c r="B975" t="s">
        <v>7</v>
      </c>
      <c r="C975" t="s">
        <v>21</v>
      </c>
      <c r="D975">
        <v>9</v>
      </c>
      <c r="E975">
        <v>80</v>
      </c>
      <c r="F975">
        <v>7.0000000000000007E-2</v>
      </c>
      <c r="G975" t="s">
        <v>26</v>
      </c>
      <c r="H975">
        <v>720</v>
      </c>
      <c r="I975">
        <f>(Table1_1[[#This Row],[Total sales]]*Table1_1[[#This Row],[Commission]])+Table1_1[[#This Row],[Total sales]]</f>
        <v>770.4</v>
      </c>
    </row>
    <row r="976" spans="1:9" x14ac:dyDescent="0.3">
      <c r="A976" s="1">
        <v>43286</v>
      </c>
      <c r="B976" t="s">
        <v>13</v>
      </c>
      <c r="C976" t="s">
        <v>11</v>
      </c>
      <c r="D976">
        <v>22</v>
      </c>
      <c r="E976">
        <v>230</v>
      </c>
      <c r="F976">
        <v>0.11</v>
      </c>
      <c r="G976" t="s">
        <v>27</v>
      </c>
      <c r="H976">
        <v>5060</v>
      </c>
      <c r="I976">
        <f>(Table1_1[[#This Row],[Total sales]]*Table1_1[[#This Row],[Commission]])+Table1_1[[#This Row],[Total sales]]</f>
        <v>5616.6</v>
      </c>
    </row>
    <row r="977" spans="1:9" x14ac:dyDescent="0.3">
      <c r="A977" s="1">
        <v>43286</v>
      </c>
      <c r="B977" t="s">
        <v>23</v>
      </c>
      <c r="C977" t="s">
        <v>11</v>
      </c>
      <c r="D977">
        <v>15</v>
      </c>
      <c r="E977">
        <v>150</v>
      </c>
      <c r="F977">
        <v>0.02</v>
      </c>
      <c r="G977" t="s">
        <v>28</v>
      </c>
      <c r="H977">
        <v>2250</v>
      </c>
      <c r="I977">
        <f>(Table1_1[[#This Row],[Total sales]]*Table1_1[[#This Row],[Commission]])+Table1_1[[#This Row],[Total sales]]</f>
        <v>2295</v>
      </c>
    </row>
    <row r="978" spans="1:9" x14ac:dyDescent="0.3">
      <c r="A978" s="1">
        <v>43286</v>
      </c>
      <c r="B978" t="s">
        <v>13</v>
      </c>
      <c r="C978" t="s">
        <v>21</v>
      </c>
      <c r="D978">
        <v>5</v>
      </c>
      <c r="E978">
        <v>230</v>
      </c>
      <c r="F978">
        <v>0.12</v>
      </c>
      <c r="G978" t="s">
        <v>9</v>
      </c>
      <c r="H978">
        <v>1150</v>
      </c>
      <c r="I978">
        <f>(Table1_1[[#This Row],[Total sales]]*Table1_1[[#This Row],[Commission]])+Table1_1[[#This Row],[Total sales]]</f>
        <v>1288</v>
      </c>
    </row>
    <row r="979" spans="1:9" x14ac:dyDescent="0.3">
      <c r="A979" s="1">
        <v>43286</v>
      </c>
      <c r="B979" t="s">
        <v>10</v>
      </c>
      <c r="C979" t="s">
        <v>16</v>
      </c>
      <c r="D979">
        <v>20</v>
      </c>
      <c r="E979">
        <v>40</v>
      </c>
      <c r="F979">
        <v>0.01</v>
      </c>
      <c r="G979" t="s">
        <v>12</v>
      </c>
      <c r="H979">
        <v>800</v>
      </c>
      <c r="I979">
        <f>(Table1_1[[#This Row],[Total sales]]*Table1_1[[#This Row],[Commission]])+Table1_1[[#This Row],[Total sales]]</f>
        <v>808</v>
      </c>
    </row>
    <row r="980" spans="1:9" x14ac:dyDescent="0.3">
      <c r="A980" s="1">
        <v>43286</v>
      </c>
      <c r="B980" t="s">
        <v>10</v>
      </c>
      <c r="C980" t="s">
        <v>8</v>
      </c>
      <c r="D980">
        <v>23</v>
      </c>
      <c r="E980">
        <v>40</v>
      </c>
      <c r="F980">
        <v>0.03</v>
      </c>
      <c r="G980" t="s">
        <v>14</v>
      </c>
      <c r="H980">
        <v>920</v>
      </c>
      <c r="I980">
        <f>(Table1_1[[#This Row],[Total sales]]*Table1_1[[#This Row],[Commission]])+Table1_1[[#This Row],[Total sales]]</f>
        <v>947.6</v>
      </c>
    </row>
    <row r="981" spans="1:9" x14ac:dyDescent="0.3">
      <c r="A981" s="1">
        <v>43286</v>
      </c>
      <c r="B981" t="s">
        <v>7</v>
      </c>
      <c r="C981" t="s">
        <v>21</v>
      </c>
      <c r="D981">
        <v>16</v>
      </c>
      <c r="E981">
        <v>80</v>
      </c>
      <c r="F981">
        <v>0.05</v>
      </c>
      <c r="G981" t="s">
        <v>15</v>
      </c>
      <c r="H981">
        <v>1280</v>
      </c>
      <c r="I981">
        <f>(Table1_1[[#This Row],[Total sales]]*Table1_1[[#This Row],[Commission]])+Table1_1[[#This Row],[Total sales]]</f>
        <v>1344</v>
      </c>
    </row>
    <row r="982" spans="1:9" x14ac:dyDescent="0.3">
      <c r="A982" s="1">
        <v>43286</v>
      </c>
      <c r="B982" t="s">
        <v>13</v>
      </c>
      <c r="C982" t="s">
        <v>16</v>
      </c>
      <c r="D982">
        <v>18</v>
      </c>
      <c r="E982">
        <v>230</v>
      </c>
      <c r="F982">
        <v>0.01</v>
      </c>
      <c r="G982" t="s">
        <v>17</v>
      </c>
      <c r="H982">
        <v>4140</v>
      </c>
      <c r="I982">
        <f>(Table1_1[[#This Row],[Total sales]]*Table1_1[[#This Row],[Commission]])+Table1_1[[#This Row],[Total sales]]</f>
        <v>4181.3999999999996</v>
      </c>
    </row>
    <row r="983" spans="1:9" x14ac:dyDescent="0.3">
      <c r="A983" s="1">
        <v>43286</v>
      </c>
      <c r="B983" t="s">
        <v>10</v>
      </c>
      <c r="C983" t="s">
        <v>21</v>
      </c>
      <c r="D983">
        <v>23</v>
      </c>
      <c r="E983">
        <v>40</v>
      </c>
      <c r="F983">
        <v>0.05</v>
      </c>
      <c r="G983" t="s">
        <v>19</v>
      </c>
      <c r="H983">
        <v>920</v>
      </c>
      <c r="I983">
        <f>(Table1_1[[#This Row],[Total sales]]*Table1_1[[#This Row],[Commission]])+Table1_1[[#This Row],[Total sales]]</f>
        <v>966</v>
      </c>
    </row>
    <row r="984" spans="1:9" x14ac:dyDescent="0.3">
      <c r="A984" s="1">
        <v>43286</v>
      </c>
      <c r="B984" t="s">
        <v>20</v>
      </c>
      <c r="C984" t="s">
        <v>18</v>
      </c>
      <c r="D984">
        <v>5</v>
      </c>
      <c r="E984">
        <v>16</v>
      </c>
      <c r="F984">
        <v>0.09</v>
      </c>
      <c r="G984" t="s">
        <v>12</v>
      </c>
      <c r="H984">
        <v>80</v>
      </c>
      <c r="I984">
        <f>(Table1_1[[#This Row],[Total sales]]*Table1_1[[#This Row],[Commission]])+Table1_1[[#This Row],[Total sales]]</f>
        <v>87.2</v>
      </c>
    </row>
    <row r="985" spans="1:9" x14ac:dyDescent="0.3">
      <c r="A985" s="1">
        <v>43286</v>
      </c>
      <c r="B985" t="s">
        <v>10</v>
      </c>
      <c r="C985" t="s">
        <v>8</v>
      </c>
      <c r="D985">
        <v>22</v>
      </c>
      <c r="E985">
        <v>40</v>
      </c>
      <c r="F985">
        <v>0.02</v>
      </c>
      <c r="G985" t="s">
        <v>14</v>
      </c>
      <c r="H985">
        <v>880</v>
      </c>
      <c r="I985">
        <f>(Table1_1[[#This Row],[Total sales]]*Table1_1[[#This Row],[Commission]])+Table1_1[[#This Row],[Total sales]]</f>
        <v>897.6</v>
      </c>
    </row>
    <row r="986" spans="1:9" x14ac:dyDescent="0.3">
      <c r="A986" s="1">
        <v>43287</v>
      </c>
      <c r="B986" t="s">
        <v>23</v>
      </c>
      <c r="C986" t="s">
        <v>8</v>
      </c>
      <c r="D986">
        <v>23</v>
      </c>
      <c r="E986">
        <v>150</v>
      </c>
      <c r="F986">
        <v>0.1</v>
      </c>
      <c r="G986" t="s">
        <v>15</v>
      </c>
      <c r="H986">
        <v>3450</v>
      </c>
      <c r="I986">
        <f>(Table1_1[[#This Row],[Total sales]]*Table1_1[[#This Row],[Commission]])+Table1_1[[#This Row],[Total sales]]</f>
        <v>3795</v>
      </c>
    </row>
    <row r="987" spans="1:9" x14ac:dyDescent="0.3">
      <c r="A987" s="1">
        <v>43287</v>
      </c>
      <c r="B987" t="s">
        <v>13</v>
      </c>
      <c r="C987" t="s">
        <v>11</v>
      </c>
      <c r="D987">
        <v>22</v>
      </c>
      <c r="E987">
        <v>230</v>
      </c>
      <c r="F987">
        <v>0.04</v>
      </c>
      <c r="G987" t="s">
        <v>17</v>
      </c>
      <c r="H987">
        <v>5060</v>
      </c>
      <c r="I987">
        <f>(Table1_1[[#This Row],[Total sales]]*Table1_1[[#This Row],[Commission]])+Table1_1[[#This Row],[Total sales]]</f>
        <v>5262.4</v>
      </c>
    </row>
    <row r="988" spans="1:9" x14ac:dyDescent="0.3">
      <c r="A988" s="1">
        <v>43287</v>
      </c>
      <c r="B988" t="s">
        <v>7</v>
      </c>
      <c r="C988" t="s">
        <v>18</v>
      </c>
      <c r="D988">
        <v>16</v>
      </c>
      <c r="E988">
        <v>80</v>
      </c>
      <c r="F988">
        <v>7.0000000000000007E-2</v>
      </c>
      <c r="G988" t="s">
        <v>19</v>
      </c>
      <c r="H988">
        <v>1280</v>
      </c>
      <c r="I988">
        <f>(Table1_1[[#This Row],[Total sales]]*Table1_1[[#This Row],[Commission]])+Table1_1[[#This Row],[Total sales]]</f>
        <v>1369.6</v>
      </c>
    </row>
    <row r="989" spans="1:9" x14ac:dyDescent="0.3">
      <c r="A989" s="1">
        <v>43287</v>
      </c>
      <c r="B989" t="s">
        <v>23</v>
      </c>
      <c r="C989" t="s">
        <v>16</v>
      </c>
      <c r="D989">
        <v>22</v>
      </c>
      <c r="E989">
        <v>150</v>
      </c>
      <c r="F989">
        <v>0.09</v>
      </c>
      <c r="G989" t="s">
        <v>22</v>
      </c>
      <c r="H989">
        <v>3300</v>
      </c>
      <c r="I989">
        <f>(Table1_1[[#This Row],[Total sales]]*Table1_1[[#This Row],[Commission]])+Table1_1[[#This Row],[Total sales]]</f>
        <v>3597</v>
      </c>
    </row>
    <row r="990" spans="1:9" x14ac:dyDescent="0.3">
      <c r="A990" s="1">
        <v>43287</v>
      </c>
      <c r="B990" t="s">
        <v>7</v>
      </c>
      <c r="C990" t="s">
        <v>16</v>
      </c>
      <c r="D990">
        <v>5</v>
      </c>
      <c r="E990">
        <v>80</v>
      </c>
      <c r="F990">
        <v>0.09</v>
      </c>
      <c r="G990" t="s">
        <v>24</v>
      </c>
      <c r="H990">
        <v>400</v>
      </c>
      <c r="I990">
        <f>(Table1_1[[#This Row],[Total sales]]*Table1_1[[#This Row],[Commission]])+Table1_1[[#This Row],[Total sales]]</f>
        <v>436</v>
      </c>
    </row>
    <row r="991" spans="1:9" x14ac:dyDescent="0.3">
      <c r="A991" s="1">
        <v>43287</v>
      </c>
      <c r="B991" t="s">
        <v>7</v>
      </c>
      <c r="C991" t="s">
        <v>18</v>
      </c>
      <c r="D991">
        <v>16</v>
      </c>
      <c r="E991">
        <v>80</v>
      </c>
      <c r="F991">
        <v>0.1</v>
      </c>
      <c r="G991" t="s">
        <v>25</v>
      </c>
      <c r="H991">
        <v>1280</v>
      </c>
      <c r="I991">
        <f>(Table1_1[[#This Row],[Total sales]]*Table1_1[[#This Row],[Commission]])+Table1_1[[#This Row],[Total sales]]</f>
        <v>1408</v>
      </c>
    </row>
    <row r="992" spans="1:9" x14ac:dyDescent="0.3">
      <c r="A992" s="1">
        <v>43287</v>
      </c>
      <c r="B992" t="s">
        <v>23</v>
      </c>
      <c r="C992" t="s">
        <v>11</v>
      </c>
      <c r="D992">
        <v>23</v>
      </c>
      <c r="E992">
        <v>150</v>
      </c>
      <c r="F992">
        <v>0.11</v>
      </c>
      <c r="G992" t="s">
        <v>26</v>
      </c>
      <c r="H992">
        <v>3450</v>
      </c>
      <c r="I992">
        <f>(Table1_1[[#This Row],[Total sales]]*Table1_1[[#This Row],[Commission]])+Table1_1[[#This Row],[Total sales]]</f>
        <v>3829.5</v>
      </c>
    </row>
    <row r="993" spans="1:9" x14ac:dyDescent="0.3">
      <c r="A993" s="1">
        <v>43287</v>
      </c>
      <c r="B993" t="s">
        <v>20</v>
      </c>
      <c r="C993" t="s">
        <v>11</v>
      </c>
      <c r="D993">
        <v>4</v>
      </c>
      <c r="E993">
        <v>16</v>
      </c>
      <c r="F993">
        <v>0.09</v>
      </c>
      <c r="G993" t="s">
        <v>27</v>
      </c>
      <c r="H993">
        <v>64</v>
      </c>
      <c r="I993">
        <f>(Table1_1[[#This Row],[Total sales]]*Table1_1[[#This Row],[Commission]])+Table1_1[[#This Row],[Total sales]]</f>
        <v>69.760000000000005</v>
      </c>
    </row>
    <row r="994" spans="1:9" x14ac:dyDescent="0.3">
      <c r="A994" s="1">
        <v>43287</v>
      </c>
      <c r="B994" t="s">
        <v>20</v>
      </c>
      <c r="C994" t="s">
        <v>11</v>
      </c>
      <c r="D994">
        <v>4</v>
      </c>
      <c r="E994">
        <v>16</v>
      </c>
      <c r="F994">
        <v>7.0000000000000007E-2</v>
      </c>
      <c r="G994" t="s">
        <v>28</v>
      </c>
      <c r="H994">
        <v>64</v>
      </c>
      <c r="I994">
        <f>(Table1_1[[#This Row],[Total sales]]*Table1_1[[#This Row],[Commission]])+Table1_1[[#This Row],[Total sales]]</f>
        <v>68.48</v>
      </c>
    </row>
    <row r="995" spans="1:9" x14ac:dyDescent="0.3">
      <c r="A995" s="1">
        <v>43287</v>
      </c>
      <c r="B995" t="s">
        <v>20</v>
      </c>
      <c r="C995" t="s">
        <v>8</v>
      </c>
      <c r="D995">
        <v>16</v>
      </c>
      <c r="E995">
        <v>16</v>
      </c>
      <c r="F995">
        <v>0.03</v>
      </c>
      <c r="G995" t="s">
        <v>9</v>
      </c>
      <c r="H995">
        <v>256</v>
      </c>
      <c r="I995">
        <f>(Table1_1[[#This Row],[Total sales]]*Table1_1[[#This Row],[Commission]])+Table1_1[[#This Row],[Total sales]]</f>
        <v>263.68</v>
      </c>
    </row>
    <row r="996" spans="1:9" x14ac:dyDescent="0.3">
      <c r="A996" s="1">
        <v>43287</v>
      </c>
      <c r="B996" t="s">
        <v>10</v>
      </c>
      <c r="C996" t="s">
        <v>18</v>
      </c>
      <c r="D996">
        <v>18</v>
      </c>
      <c r="E996">
        <v>40</v>
      </c>
      <c r="F996">
        <v>0.04</v>
      </c>
      <c r="G996" t="s">
        <v>12</v>
      </c>
      <c r="H996">
        <v>720</v>
      </c>
      <c r="I996">
        <f>(Table1_1[[#This Row],[Total sales]]*Table1_1[[#This Row],[Commission]])+Table1_1[[#This Row],[Total sales]]</f>
        <v>748.8</v>
      </c>
    </row>
    <row r="997" spans="1:9" x14ac:dyDescent="0.3">
      <c r="A997" s="1">
        <v>43287</v>
      </c>
      <c r="B997" t="s">
        <v>7</v>
      </c>
      <c r="C997" t="s">
        <v>18</v>
      </c>
      <c r="D997">
        <v>21</v>
      </c>
      <c r="E997">
        <v>80</v>
      </c>
      <c r="F997">
        <v>0.02</v>
      </c>
      <c r="G997" t="s">
        <v>14</v>
      </c>
      <c r="H997">
        <v>1680</v>
      </c>
      <c r="I997">
        <f>(Table1_1[[#This Row],[Total sales]]*Table1_1[[#This Row],[Commission]])+Table1_1[[#This Row],[Total sales]]</f>
        <v>1713.6</v>
      </c>
    </row>
    <row r="998" spans="1:9" x14ac:dyDescent="0.3">
      <c r="A998" s="1">
        <v>43287</v>
      </c>
      <c r="B998" t="s">
        <v>7</v>
      </c>
      <c r="C998" t="s">
        <v>21</v>
      </c>
      <c r="D998">
        <v>10</v>
      </c>
      <c r="E998">
        <v>80</v>
      </c>
      <c r="F998">
        <v>0.06</v>
      </c>
      <c r="G998" t="s">
        <v>15</v>
      </c>
      <c r="H998">
        <v>800</v>
      </c>
      <c r="I998">
        <f>(Table1_1[[#This Row],[Total sales]]*Table1_1[[#This Row],[Commission]])+Table1_1[[#This Row],[Total sales]]</f>
        <v>848</v>
      </c>
    </row>
    <row r="999" spans="1:9" x14ac:dyDescent="0.3">
      <c r="A999" s="1">
        <v>43287</v>
      </c>
      <c r="B999" t="s">
        <v>13</v>
      </c>
      <c r="C999" t="s">
        <v>16</v>
      </c>
      <c r="D999">
        <v>7</v>
      </c>
      <c r="E999">
        <v>230</v>
      </c>
      <c r="F999">
        <v>0.01</v>
      </c>
      <c r="G999" t="s">
        <v>17</v>
      </c>
      <c r="H999">
        <v>1610</v>
      </c>
      <c r="I999">
        <f>(Table1_1[[#This Row],[Total sales]]*Table1_1[[#This Row],[Commission]])+Table1_1[[#This Row],[Total sales]]</f>
        <v>1626.1</v>
      </c>
    </row>
    <row r="1000" spans="1:9" x14ac:dyDescent="0.3">
      <c r="A1000" s="1">
        <v>43288</v>
      </c>
      <c r="B1000" t="s">
        <v>20</v>
      </c>
      <c r="C1000" t="s">
        <v>21</v>
      </c>
      <c r="D1000">
        <v>11</v>
      </c>
      <c r="E1000">
        <v>16</v>
      </c>
      <c r="F1000">
        <v>0.12</v>
      </c>
      <c r="G1000" t="s">
        <v>19</v>
      </c>
      <c r="H1000">
        <v>176</v>
      </c>
      <c r="I1000">
        <f>(Table1_1[[#This Row],[Total sales]]*Table1_1[[#This Row],[Commission]])+Table1_1[[#This Row],[Total sales]]</f>
        <v>197.12</v>
      </c>
    </row>
    <row r="1001" spans="1:9" x14ac:dyDescent="0.3">
      <c r="A1001" s="1">
        <v>43288</v>
      </c>
      <c r="B1001" t="s">
        <v>7</v>
      </c>
      <c r="C1001" t="s">
        <v>18</v>
      </c>
      <c r="D1001">
        <v>10</v>
      </c>
      <c r="E1001">
        <v>80</v>
      </c>
      <c r="F1001">
        <v>0.1</v>
      </c>
      <c r="G1001" t="s">
        <v>12</v>
      </c>
      <c r="H1001">
        <v>800</v>
      </c>
      <c r="I1001">
        <f>(Table1_1[[#This Row],[Total sales]]*Table1_1[[#This Row],[Commission]])+Table1_1[[#This Row],[Total sales]]</f>
        <v>880</v>
      </c>
    </row>
    <row r="1002" spans="1:9" x14ac:dyDescent="0.3">
      <c r="A1002" s="1">
        <v>43288</v>
      </c>
      <c r="B1002" t="s">
        <v>10</v>
      </c>
      <c r="C1002" t="s">
        <v>11</v>
      </c>
      <c r="D1002">
        <v>23</v>
      </c>
      <c r="E1002">
        <v>40</v>
      </c>
      <c r="F1002">
        <v>0.06</v>
      </c>
      <c r="G1002" t="s">
        <v>14</v>
      </c>
      <c r="H1002">
        <v>920</v>
      </c>
      <c r="I1002">
        <f>(Table1_1[[#This Row],[Total sales]]*Table1_1[[#This Row],[Commission]])+Table1_1[[#This Row],[Total sales]]</f>
        <v>975.2</v>
      </c>
    </row>
    <row r="1003" spans="1:9" x14ac:dyDescent="0.3">
      <c r="A1003" s="1">
        <v>43288</v>
      </c>
      <c r="B1003" t="s">
        <v>23</v>
      </c>
      <c r="C1003" t="s">
        <v>21</v>
      </c>
      <c r="D1003">
        <v>7</v>
      </c>
      <c r="E1003">
        <v>150</v>
      </c>
      <c r="F1003">
        <v>0.02</v>
      </c>
      <c r="G1003" t="s">
        <v>15</v>
      </c>
      <c r="H1003">
        <v>1050</v>
      </c>
      <c r="I1003">
        <f>(Table1_1[[#This Row],[Total sales]]*Table1_1[[#This Row],[Commission]])+Table1_1[[#This Row],[Total sales]]</f>
        <v>1071</v>
      </c>
    </row>
    <row r="1004" spans="1:9" x14ac:dyDescent="0.3">
      <c r="A1004" s="1">
        <v>43288</v>
      </c>
      <c r="B1004" t="s">
        <v>7</v>
      </c>
      <c r="C1004" t="s">
        <v>8</v>
      </c>
      <c r="D1004">
        <v>17</v>
      </c>
      <c r="E1004">
        <v>80</v>
      </c>
      <c r="F1004">
        <v>7.0000000000000007E-2</v>
      </c>
      <c r="G1004" t="s">
        <v>17</v>
      </c>
      <c r="H1004">
        <v>1360</v>
      </c>
      <c r="I1004">
        <f>(Table1_1[[#This Row],[Total sales]]*Table1_1[[#This Row],[Commission]])+Table1_1[[#This Row],[Total sales]]</f>
        <v>1455.2</v>
      </c>
    </row>
    <row r="1005" spans="1:9" x14ac:dyDescent="0.3">
      <c r="A1005" s="1">
        <v>43288</v>
      </c>
      <c r="B1005" t="s">
        <v>23</v>
      </c>
      <c r="C1005" t="s">
        <v>11</v>
      </c>
      <c r="D1005">
        <v>20</v>
      </c>
      <c r="E1005">
        <v>150</v>
      </c>
      <c r="F1005">
        <v>0.09</v>
      </c>
      <c r="G1005" t="s">
        <v>19</v>
      </c>
      <c r="H1005">
        <v>3000</v>
      </c>
      <c r="I1005">
        <f>(Table1_1[[#This Row],[Total sales]]*Table1_1[[#This Row],[Commission]])+Table1_1[[#This Row],[Total sales]]</f>
        <v>3270</v>
      </c>
    </row>
    <row r="1006" spans="1:9" x14ac:dyDescent="0.3">
      <c r="A1006" s="1">
        <v>43288</v>
      </c>
      <c r="B1006" t="s">
        <v>13</v>
      </c>
      <c r="C1006" t="s">
        <v>18</v>
      </c>
      <c r="D1006">
        <v>23</v>
      </c>
      <c r="E1006">
        <v>230</v>
      </c>
      <c r="F1006">
        <v>0.06</v>
      </c>
      <c r="G1006" t="s">
        <v>22</v>
      </c>
      <c r="H1006">
        <v>5290</v>
      </c>
      <c r="I1006">
        <f>(Table1_1[[#This Row],[Total sales]]*Table1_1[[#This Row],[Commission]])+Table1_1[[#This Row],[Total sales]]</f>
        <v>5607.4</v>
      </c>
    </row>
    <row r="1007" spans="1:9" x14ac:dyDescent="0.3">
      <c r="A1007" s="1">
        <v>43288</v>
      </c>
      <c r="B1007" t="s">
        <v>7</v>
      </c>
      <c r="C1007" t="s">
        <v>11</v>
      </c>
      <c r="D1007">
        <v>16</v>
      </c>
      <c r="E1007">
        <v>80</v>
      </c>
      <c r="F1007">
        <v>0.04</v>
      </c>
      <c r="G1007" t="s">
        <v>24</v>
      </c>
      <c r="H1007">
        <v>1280</v>
      </c>
      <c r="I1007">
        <f>(Table1_1[[#This Row],[Total sales]]*Table1_1[[#This Row],[Commission]])+Table1_1[[#This Row],[Total sales]]</f>
        <v>1331.2</v>
      </c>
    </row>
    <row r="1008" spans="1:9" x14ac:dyDescent="0.3">
      <c r="A1008" s="1">
        <v>43288</v>
      </c>
      <c r="B1008" t="s">
        <v>13</v>
      </c>
      <c r="C1008" t="s">
        <v>21</v>
      </c>
      <c r="D1008">
        <v>22</v>
      </c>
      <c r="E1008">
        <v>230</v>
      </c>
      <c r="F1008">
        <v>0.1</v>
      </c>
      <c r="G1008" t="s">
        <v>25</v>
      </c>
      <c r="H1008">
        <v>5060</v>
      </c>
      <c r="I1008">
        <f>(Table1_1[[#This Row],[Total sales]]*Table1_1[[#This Row],[Commission]])+Table1_1[[#This Row],[Total sales]]</f>
        <v>5566</v>
      </c>
    </row>
    <row r="1009" spans="1:9" x14ac:dyDescent="0.3">
      <c r="A1009" s="1">
        <v>43288</v>
      </c>
      <c r="B1009" t="s">
        <v>13</v>
      </c>
      <c r="C1009" t="s">
        <v>16</v>
      </c>
      <c r="D1009">
        <v>15</v>
      </c>
      <c r="E1009">
        <v>230</v>
      </c>
      <c r="F1009">
        <v>0.11</v>
      </c>
      <c r="G1009" t="s">
        <v>26</v>
      </c>
      <c r="H1009">
        <v>3450</v>
      </c>
      <c r="I1009">
        <f>(Table1_1[[#This Row],[Total sales]]*Table1_1[[#This Row],[Commission]])+Table1_1[[#This Row],[Total sales]]</f>
        <v>3829.5</v>
      </c>
    </row>
    <row r="1010" spans="1:9" x14ac:dyDescent="0.3">
      <c r="A1010" s="1">
        <v>43288</v>
      </c>
      <c r="B1010" t="s">
        <v>10</v>
      </c>
      <c r="C1010" t="s">
        <v>11</v>
      </c>
      <c r="D1010">
        <v>15</v>
      </c>
      <c r="E1010">
        <v>40</v>
      </c>
      <c r="F1010">
        <v>0.04</v>
      </c>
      <c r="G1010" t="s">
        <v>27</v>
      </c>
      <c r="H1010">
        <v>600</v>
      </c>
      <c r="I1010">
        <f>(Table1_1[[#This Row],[Total sales]]*Table1_1[[#This Row],[Commission]])+Table1_1[[#This Row],[Total sales]]</f>
        <v>624</v>
      </c>
    </row>
    <row r="1011" spans="1:9" x14ac:dyDescent="0.3">
      <c r="A1011" s="1">
        <v>43288</v>
      </c>
      <c r="B1011" t="s">
        <v>7</v>
      </c>
      <c r="C1011" t="s">
        <v>11</v>
      </c>
      <c r="D1011">
        <v>2</v>
      </c>
      <c r="E1011">
        <v>80</v>
      </c>
      <c r="F1011">
        <v>7.0000000000000007E-2</v>
      </c>
      <c r="G1011" t="s">
        <v>28</v>
      </c>
      <c r="H1011">
        <v>160</v>
      </c>
      <c r="I1011">
        <f>(Table1_1[[#This Row],[Total sales]]*Table1_1[[#This Row],[Commission]])+Table1_1[[#This Row],[Total sales]]</f>
        <v>171.2</v>
      </c>
    </row>
    <row r="1012" spans="1:9" x14ac:dyDescent="0.3">
      <c r="A1012" s="1">
        <v>43289</v>
      </c>
      <c r="B1012" t="s">
        <v>23</v>
      </c>
      <c r="C1012" t="s">
        <v>8</v>
      </c>
      <c r="D1012">
        <v>22</v>
      </c>
      <c r="E1012">
        <v>150</v>
      </c>
      <c r="F1012">
        <v>0.05</v>
      </c>
      <c r="G1012" t="s">
        <v>9</v>
      </c>
      <c r="H1012">
        <v>3300</v>
      </c>
      <c r="I1012">
        <f>(Table1_1[[#This Row],[Total sales]]*Table1_1[[#This Row],[Commission]])+Table1_1[[#This Row],[Total sales]]</f>
        <v>3465</v>
      </c>
    </row>
    <row r="1013" spans="1:9" x14ac:dyDescent="0.3">
      <c r="A1013" s="1">
        <v>43289</v>
      </c>
      <c r="B1013" t="s">
        <v>10</v>
      </c>
      <c r="C1013" t="s">
        <v>21</v>
      </c>
      <c r="D1013">
        <v>20</v>
      </c>
      <c r="E1013">
        <v>40</v>
      </c>
      <c r="F1013">
        <v>7.0000000000000007E-2</v>
      </c>
      <c r="G1013" t="s">
        <v>12</v>
      </c>
      <c r="H1013">
        <v>800</v>
      </c>
      <c r="I1013">
        <f>(Table1_1[[#This Row],[Total sales]]*Table1_1[[#This Row],[Commission]])+Table1_1[[#This Row],[Total sales]]</f>
        <v>856</v>
      </c>
    </row>
    <row r="1014" spans="1:9" x14ac:dyDescent="0.3">
      <c r="A1014" s="1">
        <v>43289</v>
      </c>
      <c r="B1014" t="s">
        <v>13</v>
      </c>
      <c r="C1014" t="s">
        <v>18</v>
      </c>
      <c r="D1014">
        <v>2</v>
      </c>
      <c r="E1014">
        <v>230</v>
      </c>
      <c r="F1014">
        <v>0.09</v>
      </c>
      <c r="G1014" t="s">
        <v>14</v>
      </c>
      <c r="H1014">
        <v>460</v>
      </c>
      <c r="I1014">
        <f>(Table1_1[[#This Row],[Total sales]]*Table1_1[[#This Row],[Commission]])+Table1_1[[#This Row],[Total sales]]</f>
        <v>501.4</v>
      </c>
    </row>
    <row r="1015" spans="1:9" x14ac:dyDescent="0.3">
      <c r="A1015" s="1">
        <v>43289</v>
      </c>
      <c r="B1015" t="s">
        <v>10</v>
      </c>
      <c r="C1015" t="s">
        <v>18</v>
      </c>
      <c r="D1015">
        <v>7</v>
      </c>
      <c r="E1015">
        <v>40</v>
      </c>
      <c r="F1015">
        <v>0.11</v>
      </c>
      <c r="G1015" t="s">
        <v>15</v>
      </c>
      <c r="H1015">
        <v>280</v>
      </c>
      <c r="I1015">
        <f>(Table1_1[[#This Row],[Total sales]]*Table1_1[[#This Row],[Commission]])+Table1_1[[#This Row],[Total sales]]</f>
        <v>310.8</v>
      </c>
    </row>
    <row r="1016" spans="1:9" x14ac:dyDescent="0.3">
      <c r="A1016" s="1">
        <v>43289</v>
      </c>
      <c r="B1016" t="s">
        <v>7</v>
      </c>
      <c r="C1016" t="s">
        <v>18</v>
      </c>
      <c r="D1016">
        <v>7</v>
      </c>
      <c r="E1016">
        <v>80</v>
      </c>
      <c r="F1016">
        <v>7.0000000000000007E-2</v>
      </c>
      <c r="G1016" t="s">
        <v>17</v>
      </c>
      <c r="H1016">
        <v>560</v>
      </c>
      <c r="I1016">
        <f>(Table1_1[[#This Row],[Total sales]]*Table1_1[[#This Row],[Commission]])+Table1_1[[#This Row],[Total sales]]</f>
        <v>599.20000000000005</v>
      </c>
    </row>
    <row r="1017" spans="1:9" x14ac:dyDescent="0.3">
      <c r="A1017" s="1">
        <v>43289</v>
      </c>
      <c r="B1017" t="s">
        <v>10</v>
      </c>
      <c r="C1017" t="s">
        <v>18</v>
      </c>
      <c r="D1017">
        <v>9</v>
      </c>
      <c r="E1017">
        <v>40</v>
      </c>
      <c r="F1017">
        <v>0.06</v>
      </c>
      <c r="G1017" t="s">
        <v>19</v>
      </c>
      <c r="H1017">
        <v>360</v>
      </c>
      <c r="I1017">
        <f>(Table1_1[[#This Row],[Total sales]]*Table1_1[[#This Row],[Commission]])+Table1_1[[#This Row],[Total sales]]</f>
        <v>381.6</v>
      </c>
    </row>
    <row r="1018" spans="1:9" x14ac:dyDescent="0.3">
      <c r="A1018" s="1">
        <v>43289</v>
      </c>
      <c r="B1018" t="s">
        <v>10</v>
      </c>
      <c r="C1018" t="s">
        <v>8</v>
      </c>
      <c r="D1018">
        <v>18</v>
      </c>
      <c r="E1018">
        <v>40</v>
      </c>
      <c r="F1018">
        <v>0.11</v>
      </c>
      <c r="G1018" t="s">
        <v>12</v>
      </c>
      <c r="H1018">
        <v>720</v>
      </c>
      <c r="I1018">
        <f>(Table1_1[[#This Row],[Total sales]]*Table1_1[[#This Row],[Commission]])+Table1_1[[#This Row],[Total sales]]</f>
        <v>799.2</v>
      </c>
    </row>
    <row r="1019" spans="1:9" x14ac:dyDescent="0.3">
      <c r="A1019" s="1">
        <v>43289</v>
      </c>
      <c r="B1019" t="s">
        <v>13</v>
      </c>
      <c r="C1019" t="s">
        <v>8</v>
      </c>
      <c r="D1019">
        <v>20</v>
      </c>
      <c r="E1019">
        <v>230</v>
      </c>
      <c r="F1019">
        <v>0.04</v>
      </c>
      <c r="G1019" t="s">
        <v>14</v>
      </c>
      <c r="H1019">
        <v>4600</v>
      </c>
      <c r="I1019">
        <f>(Table1_1[[#This Row],[Total sales]]*Table1_1[[#This Row],[Commission]])+Table1_1[[#This Row],[Total sales]]</f>
        <v>4784</v>
      </c>
    </row>
    <row r="1020" spans="1:9" x14ac:dyDescent="0.3">
      <c r="A1020" s="1">
        <v>43289</v>
      </c>
      <c r="B1020" t="s">
        <v>7</v>
      </c>
      <c r="C1020" t="s">
        <v>16</v>
      </c>
      <c r="D1020">
        <v>23</v>
      </c>
      <c r="E1020">
        <v>80</v>
      </c>
      <c r="F1020">
        <v>0.05</v>
      </c>
      <c r="G1020" t="s">
        <v>15</v>
      </c>
      <c r="H1020">
        <v>1840</v>
      </c>
      <c r="I1020">
        <f>(Table1_1[[#This Row],[Total sales]]*Table1_1[[#This Row],[Commission]])+Table1_1[[#This Row],[Total sales]]</f>
        <v>1932</v>
      </c>
    </row>
    <row r="1021" spans="1:9" x14ac:dyDescent="0.3">
      <c r="A1021" s="1">
        <v>43289</v>
      </c>
      <c r="B1021" t="s">
        <v>23</v>
      </c>
      <c r="C1021" t="s">
        <v>21</v>
      </c>
      <c r="D1021">
        <v>11</v>
      </c>
      <c r="E1021">
        <v>150</v>
      </c>
      <c r="F1021">
        <v>0.09</v>
      </c>
      <c r="G1021" t="s">
        <v>17</v>
      </c>
      <c r="H1021">
        <v>1650</v>
      </c>
      <c r="I1021">
        <f>(Table1_1[[#This Row],[Total sales]]*Table1_1[[#This Row],[Commission]])+Table1_1[[#This Row],[Total sales]]</f>
        <v>1798.5</v>
      </c>
    </row>
    <row r="1022" spans="1:9" x14ac:dyDescent="0.3">
      <c r="A1022" s="1">
        <v>43289</v>
      </c>
      <c r="B1022" t="s">
        <v>23</v>
      </c>
      <c r="C1022" t="s">
        <v>8</v>
      </c>
      <c r="D1022">
        <v>17</v>
      </c>
      <c r="E1022">
        <v>150</v>
      </c>
      <c r="F1022">
        <v>0.12</v>
      </c>
      <c r="G1022" t="s">
        <v>19</v>
      </c>
      <c r="H1022">
        <v>2550</v>
      </c>
      <c r="I1022">
        <f>(Table1_1[[#This Row],[Total sales]]*Table1_1[[#This Row],[Commission]])+Table1_1[[#This Row],[Total sales]]</f>
        <v>2856</v>
      </c>
    </row>
    <row r="1023" spans="1:9" x14ac:dyDescent="0.3">
      <c r="A1023" s="1">
        <v>43289</v>
      </c>
      <c r="B1023" t="s">
        <v>13</v>
      </c>
      <c r="C1023" t="s">
        <v>21</v>
      </c>
      <c r="D1023">
        <v>2</v>
      </c>
      <c r="E1023">
        <v>230</v>
      </c>
      <c r="F1023">
        <v>0.08</v>
      </c>
      <c r="G1023" t="s">
        <v>22</v>
      </c>
      <c r="H1023">
        <v>460</v>
      </c>
      <c r="I1023">
        <f>(Table1_1[[#This Row],[Total sales]]*Table1_1[[#This Row],[Commission]])+Table1_1[[#This Row],[Total sales]]</f>
        <v>496.8</v>
      </c>
    </row>
    <row r="1024" spans="1:9" x14ac:dyDescent="0.3">
      <c r="A1024" s="1">
        <v>43289</v>
      </c>
      <c r="B1024" t="s">
        <v>7</v>
      </c>
      <c r="C1024" t="s">
        <v>16</v>
      </c>
      <c r="D1024">
        <v>10</v>
      </c>
      <c r="E1024">
        <v>80</v>
      </c>
      <c r="F1024">
        <v>0.11</v>
      </c>
      <c r="G1024" t="s">
        <v>24</v>
      </c>
      <c r="H1024">
        <v>800</v>
      </c>
      <c r="I1024">
        <f>(Table1_1[[#This Row],[Total sales]]*Table1_1[[#This Row],[Commission]])+Table1_1[[#This Row],[Total sales]]</f>
        <v>888</v>
      </c>
    </row>
    <row r="1025" spans="1:9" x14ac:dyDescent="0.3">
      <c r="A1025" s="1">
        <v>43290</v>
      </c>
      <c r="B1025" t="s">
        <v>20</v>
      </c>
      <c r="C1025" t="s">
        <v>18</v>
      </c>
      <c r="D1025">
        <v>22</v>
      </c>
      <c r="E1025">
        <v>16</v>
      </c>
      <c r="F1025">
        <v>0.03</v>
      </c>
      <c r="G1025" t="s">
        <v>25</v>
      </c>
      <c r="H1025">
        <v>352</v>
      </c>
      <c r="I1025">
        <f>(Table1_1[[#This Row],[Total sales]]*Table1_1[[#This Row],[Commission]])+Table1_1[[#This Row],[Total sales]]</f>
        <v>362.56</v>
      </c>
    </row>
    <row r="1026" spans="1:9" x14ac:dyDescent="0.3">
      <c r="A1026" s="1">
        <v>43290</v>
      </c>
      <c r="B1026" t="s">
        <v>20</v>
      </c>
      <c r="C1026" t="s">
        <v>16</v>
      </c>
      <c r="D1026">
        <v>9</v>
      </c>
      <c r="E1026">
        <v>16</v>
      </c>
      <c r="F1026">
        <v>0.05</v>
      </c>
      <c r="G1026" t="s">
        <v>26</v>
      </c>
      <c r="H1026">
        <v>144</v>
      </c>
      <c r="I1026">
        <f>(Table1_1[[#This Row],[Total sales]]*Table1_1[[#This Row],[Commission]])+Table1_1[[#This Row],[Total sales]]</f>
        <v>151.19999999999999</v>
      </c>
    </row>
    <row r="1027" spans="1:9" x14ac:dyDescent="0.3">
      <c r="A1027" s="1">
        <v>43290</v>
      </c>
      <c r="B1027" t="s">
        <v>10</v>
      </c>
      <c r="C1027" t="s">
        <v>16</v>
      </c>
      <c r="D1027">
        <v>4</v>
      </c>
      <c r="E1027">
        <v>40</v>
      </c>
      <c r="F1027">
        <v>0.1</v>
      </c>
      <c r="G1027" t="s">
        <v>27</v>
      </c>
      <c r="H1027">
        <v>160</v>
      </c>
      <c r="I1027">
        <f>(Table1_1[[#This Row],[Total sales]]*Table1_1[[#This Row],[Commission]])+Table1_1[[#This Row],[Total sales]]</f>
        <v>176</v>
      </c>
    </row>
    <row r="1028" spans="1:9" x14ac:dyDescent="0.3">
      <c r="A1028" s="1">
        <v>43290</v>
      </c>
      <c r="B1028" t="s">
        <v>7</v>
      </c>
      <c r="C1028" t="s">
        <v>21</v>
      </c>
      <c r="D1028">
        <v>9</v>
      </c>
      <c r="E1028">
        <v>80</v>
      </c>
      <c r="F1028">
        <v>0.02</v>
      </c>
      <c r="G1028" t="s">
        <v>28</v>
      </c>
      <c r="H1028">
        <v>720</v>
      </c>
      <c r="I1028">
        <f>(Table1_1[[#This Row],[Total sales]]*Table1_1[[#This Row],[Commission]])+Table1_1[[#This Row],[Total sales]]</f>
        <v>734.4</v>
      </c>
    </row>
    <row r="1029" spans="1:9" x14ac:dyDescent="0.3">
      <c r="A1029" s="1">
        <v>43290</v>
      </c>
      <c r="B1029" t="s">
        <v>13</v>
      </c>
      <c r="C1029" t="s">
        <v>16</v>
      </c>
      <c r="D1029">
        <v>6</v>
      </c>
      <c r="E1029">
        <v>230</v>
      </c>
      <c r="F1029">
        <v>0.05</v>
      </c>
      <c r="G1029" t="s">
        <v>9</v>
      </c>
      <c r="H1029">
        <v>1380</v>
      </c>
      <c r="I1029">
        <f>(Table1_1[[#This Row],[Total sales]]*Table1_1[[#This Row],[Commission]])+Table1_1[[#This Row],[Total sales]]</f>
        <v>1449</v>
      </c>
    </row>
    <row r="1030" spans="1:9" x14ac:dyDescent="0.3">
      <c r="A1030" s="1">
        <v>43290</v>
      </c>
      <c r="B1030" t="s">
        <v>7</v>
      </c>
      <c r="C1030" t="s">
        <v>18</v>
      </c>
      <c r="D1030">
        <v>14</v>
      </c>
      <c r="E1030">
        <v>80</v>
      </c>
      <c r="F1030">
        <v>0.05</v>
      </c>
      <c r="G1030" t="s">
        <v>12</v>
      </c>
      <c r="H1030">
        <v>1120</v>
      </c>
      <c r="I1030">
        <f>(Table1_1[[#This Row],[Total sales]]*Table1_1[[#This Row],[Commission]])+Table1_1[[#This Row],[Total sales]]</f>
        <v>1176</v>
      </c>
    </row>
    <row r="1031" spans="1:9" x14ac:dyDescent="0.3">
      <c r="A1031" s="1">
        <v>43290</v>
      </c>
      <c r="B1031" t="s">
        <v>20</v>
      </c>
      <c r="C1031" t="s">
        <v>21</v>
      </c>
      <c r="D1031">
        <v>17</v>
      </c>
      <c r="E1031">
        <v>16</v>
      </c>
      <c r="F1031">
        <v>0.08</v>
      </c>
      <c r="G1031" t="s">
        <v>14</v>
      </c>
      <c r="H1031">
        <v>272</v>
      </c>
      <c r="I1031">
        <f>(Table1_1[[#This Row],[Total sales]]*Table1_1[[#This Row],[Commission]])+Table1_1[[#This Row],[Total sales]]</f>
        <v>293.76</v>
      </c>
    </row>
    <row r="1032" spans="1:9" x14ac:dyDescent="0.3">
      <c r="A1032" s="1">
        <v>43290</v>
      </c>
      <c r="B1032" t="s">
        <v>23</v>
      </c>
      <c r="C1032" t="s">
        <v>11</v>
      </c>
      <c r="D1032">
        <v>22</v>
      </c>
      <c r="E1032">
        <v>150</v>
      </c>
      <c r="F1032">
        <v>0.02</v>
      </c>
      <c r="G1032" t="s">
        <v>15</v>
      </c>
      <c r="H1032">
        <v>3300</v>
      </c>
      <c r="I1032">
        <f>(Table1_1[[#This Row],[Total sales]]*Table1_1[[#This Row],[Commission]])+Table1_1[[#This Row],[Total sales]]</f>
        <v>3366</v>
      </c>
    </row>
    <row r="1033" spans="1:9" x14ac:dyDescent="0.3">
      <c r="A1033" s="1">
        <v>43290</v>
      </c>
      <c r="B1033" t="s">
        <v>10</v>
      </c>
      <c r="C1033" t="s">
        <v>21</v>
      </c>
      <c r="D1033">
        <v>17</v>
      </c>
      <c r="E1033">
        <v>40</v>
      </c>
      <c r="F1033">
        <v>0.02</v>
      </c>
      <c r="G1033" t="s">
        <v>17</v>
      </c>
      <c r="H1033">
        <v>680</v>
      </c>
      <c r="I1033">
        <f>(Table1_1[[#This Row],[Total sales]]*Table1_1[[#This Row],[Commission]])+Table1_1[[#This Row],[Total sales]]</f>
        <v>693.6</v>
      </c>
    </row>
    <row r="1034" spans="1:9" x14ac:dyDescent="0.3">
      <c r="A1034" s="1">
        <v>43290</v>
      </c>
      <c r="B1034" t="s">
        <v>7</v>
      </c>
      <c r="C1034" t="s">
        <v>21</v>
      </c>
      <c r="D1034">
        <v>17</v>
      </c>
      <c r="E1034">
        <v>80</v>
      </c>
      <c r="F1034">
        <v>7.0000000000000007E-2</v>
      </c>
      <c r="G1034" t="s">
        <v>19</v>
      </c>
      <c r="H1034">
        <v>1360</v>
      </c>
      <c r="I1034">
        <f>(Table1_1[[#This Row],[Total sales]]*Table1_1[[#This Row],[Commission]])+Table1_1[[#This Row],[Total sales]]</f>
        <v>1455.2</v>
      </c>
    </row>
    <row r="1035" spans="1:9" x14ac:dyDescent="0.3">
      <c r="A1035" s="1">
        <v>43290</v>
      </c>
      <c r="B1035" t="s">
        <v>23</v>
      </c>
      <c r="C1035" t="s">
        <v>18</v>
      </c>
      <c r="D1035">
        <v>4</v>
      </c>
      <c r="E1035">
        <v>150</v>
      </c>
      <c r="F1035">
        <v>0.12</v>
      </c>
      <c r="G1035" t="s">
        <v>12</v>
      </c>
      <c r="H1035">
        <v>600</v>
      </c>
      <c r="I1035">
        <f>(Table1_1[[#This Row],[Total sales]]*Table1_1[[#This Row],[Commission]])+Table1_1[[#This Row],[Total sales]]</f>
        <v>672</v>
      </c>
    </row>
    <row r="1036" spans="1:9" x14ac:dyDescent="0.3">
      <c r="A1036" s="1">
        <v>43290</v>
      </c>
      <c r="B1036" t="s">
        <v>20</v>
      </c>
      <c r="C1036" t="s">
        <v>18</v>
      </c>
      <c r="D1036">
        <v>14</v>
      </c>
      <c r="E1036">
        <v>16</v>
      </c>
      <c r="F1036">
        <v>0.12</v>
      </c>
      <c r="G1036" t="s">
        <v>14</v>
      </c>
      <c r="H1036">
        <v>224</v>
      </c>
      <c r="I1036">
        <f>(Table1_1[[#This Row],[Total sales]]*Table1_1[[#This Row],[Commission]])+Table1_1[[#This Row],[Total sales]]</f>
        <v>250.88</v>
      </c>
    </row>
    <row r="1037" spans="1:9" x14ac:dyDescent="0.3">
      <c r="A1037" s="1">
        <v>43290</v>
      </c>
      <c r="B1037" t="s">
        <v>20</v>
      </c>
      <c r="C1037" t="s">
        <v>8</v>
      </c>
      <c r="D1037">
        <v>18</v>
      </c>
      <c r="E1037">
        <v>16</v>
      </c>
      <c r="F1037">
        <v>0.11</v>
      </c>
      <c r="G1037" t="s">
        <v>15</v>
      </c>
      <c r="H1037">
        <v>288</v>
      </c>
      <c r="I1037">
        <f>(Table1_1[[#This Row],[Total sales]]*Table1_1[[#This Row],[Commission]])+Table1_1[[#This Row],[Total sales]]</f>
        <v>319.68</v>
      </c>
    </row>
    <row r="1038" spans="1:9" x14ac:dyDescent="0.3">
      <c r="A1038" s="1">
        <v>43290</v>
      </c>
      <c r="B1038" t="s">
        <v>7</v>
      </c>
      <c r="C1038" t="s">
        <v>21</v>
      </c>
      <c r="D1038">
        <v>22</v>
      </c>
      <c r="E1038">
        <v>80</v>
      </c>
      <c r="F1038">
        <v>0.09</v>
      </c>
      <c r="G1038" t="s">
        <v>17</v>
      </c>
      <c r="H1038">
        <v>1760</v>
      </c>
      <c r="I1038">
        <f>(Table1_1[[#This Row],[Total sales]]*Table1_1[[#This Row],[Commission]])+Table1_1[[#This Row],[Total sales]]</f>
        <v>1918.4</v>
      </c>
    </row>
    <row r="1039" spans="1:9" x14ac:dyDescent="0.3">
      <c r="A1039" s="1">
        <v>43290</v>
      </c>
      <c r="B1039" t="s">
        <v>13</v>
      </c>
      <c r="C1039" t="s">
        <v>11</v>
      </c>
      <c r="D1039">
        <v>12</v>
      </c>
      <c r="E1039">
        <v>230</v>
      </c>
      <c r="F1039">
        <v>0.03</v>
      </c>
      <c r="G1039" t="s">
        <v>19</v>
      </c>
      <c r="H1039">
        <v>2760</v>
      </c>
      <c r="I1039">
        <f>(Table1_1[[#This Row],[Total sales]]*Table1_1[[#This Row],[Commission]])+Table1_1[[#This Row],[Total sales]]</f>
        <v>2842.8</v>
      </c>
    </row>
    <row r="1040" spans="1:9" x14ac:dyDescent="0.3">
      <c r="A1040" s="1">
        <v>43290</v>
      </c>
      <c r="B1040" t="s">
        <v>10</v>
      </c>
      <c r="C1040" t="s">
        <v>11</v>
      </c>
      <c r="D1040">
        <v>12</v>
      </c>
      <c r="E1040">
        <v>40</v>
      </c>
      <c r="F1040">
        <v>0.1</v>
      </c>
      <c r="G1040" t="s">
        <v>22</v>
      </c>
      <c r="H1040">
        <v>480</v>
      </c>
      <c r="I1040">
        <f>(Table1_1[[#This Row],[Total sales]]*Table1_1[[#This Row],[Commission]])+Table1_1[[#This Row],[Total sales]]</f>
        <v>528</v>
      </c>
    </row>
    <row r="1041" spans="1:9" x14ac:dyDescent="0.3">
      <c r="A1041" s="1">
        <v>43291</v>
      </c>
      <c r="B1041" t="s">
        <v>10</v>
      </c>
      <c r="C1041" t="s">
        <v>21</v>
      </c>
      <c r="D1041">
        <v>7</v>
      </c>
      <c r="E1041">
        <v>40</v>
      </c>
      <c r="F1041">
        <v>0.12</v>
      </c>
      <c r="G1041" t="s">
        <v>24</v>
      </c>
      <c r="H1041">
        <v>280</v>
      </c>
      <c r="I1041">
        <f>(Table1_1[[#This Row],[Total sales]]*Table1_1[[#This Row],[Commission]])+Table1_1[[#This Row],[Total sales]]</f>
        <v>313.60000000000002</v>
      </c>
    </row>
    <row r="1042" spans="1:9" x14ac:dyDescent="0.3">
      <c r="A1042" s="1">
        <v>43291</v>
      </c>
      <c r="B1042" t="s">
        <v>7</v>
      </c>
      <c r="C1042" t="s">
        <v>8</v>
      </c>
      <c r="D1042">
        <v>12</v>
      </c>
      <c r="E1042">
        <v>80</v>
      </c>
      <c r="F1042">
        <v>0.04</v>
      </c>
      <c r="G1042" t="s">
        <v>25</v>
      </c>
      <c r="H1042">
        <v>960</v>
      </c>
      <c r="I1042">
        <f>(Table1_1[[#This Row],[Total sales]]*Table1_1[[#This Row],[Commission]])+Table1_1[[#This Row],[Total sales]]</f>
        <v>998.4</v>
      </c>
    </row>
    <row r="1043" spans="1:9" x14ac:dyDescent="0.3">
      <c r="A1043" s="1">
        <v>43291</v>
      </c>
      <c r="B1043" t="s">
        <v>20</v>
      </c>
      <c r="C1043" t="s">
        <v>21</v>
      </c>
      <c r="D1043">
        <v>17</v>
      </c>
      <c r="E1043">
        <v>16</v>
      </c>
      <c r="F1043">
        <v>0.1</v>
      </c>
      <c r="G1043" t="s">
        <v>26</v>
      </c>
      <c r="H1043">
        <v>272</v>
      </c>
      <c r="I1043">
        <f>(Table1_1[[#This Row],[Total sales]]*Table1_1[[#This Row],[Commission]])+Table1_1[[#This Row],[Total sales]]</f>
        <v>299.2</v>
      </c>
    </row>
    <row r="1044" spans="1:9" x14ac:dyDescent="0.3">
      <c r="A1044" s="1">
        <v>43291</v>
      </c>
      <c r="B1044" t="s">
        <v>13</v>
      </c>
      <c r="C1044" t="s">
        <v>11</v>
      </c>
      <c r="D1044">
        <v>6</v>
      </c>
      <c r="E1044">
        <v>230</v>
      </c>
      <c r="F1044">
        <v>0.1</v>
      </c>
      <c r="G1044" t="s">
        <v>27</v>
      </c>
      <c r="H1044">
        <v>1380</v>
      </c>
      <c r="I1044">
        <f>(Table1_1[[#This Row],[Total sales]]*Table1_1[[#This Row],[Commission]])+Table1_1[[#This Row],[Total sales]]</f>
        <v>1518</v>
      </c>
    </row>
    <row r="1045" spans="1:9" x14ac:dyDescent="0.3">
      <c r="A1045" s="1">
        <v>43291</v>
      </c>
      <c r="B1045" t="s">
        <v>10</v>
      </c>
      <c r="C1045" t="s">
        <v>8</v>
      </c>
      <c r="D1045">
        <v>11</v>
      </c>
      <c r="E1045">
        <v>40</v>
      </c>
      <c r="F1045">
        <v>0.04</v>
      </c>
      <c r="G1045" t="s">
        <v>28</v>
      </c>
      <c r="H1045">
        <v>440</v>
      </c>
      <c r="I1045">
        <f>(Table1_1[[#This Row],[Total sales]]*Table1_1[[#This Row],[Commission]])+Table1_1[[#This Row],[Total sales]]</f>
        <v>457.6</v>
      </c>
    </row>
    <row r="1046" spans="1:9" x14ac:dyDescent="0.3">
      <c r="A1046" s="1">
        <v>43291</v>
      </c>
      <c r="B1046" t="s">
        <v>20</v>
      </c>
      <c r="C1046" t="s">
        <v>18</v>
      </c>
      <c r="D1046">
        <v>10</v>
      </c>
      <c r="E1046">
        <v>16</v>
      </c>
      <c r="F1046">
        <v>0.04</v>
      </c>
      <c r="G1046" t="s">
        <v>9</v>
      </c>
      <c r="H1046">
        <v>160</v>
      </c>
      <c r="I1046">
        <f>(Table1_1[[#This Row],[Total sales]]*Table1_1[[#This Row],[Commission]])+Table1_1[[#This Row],[Total sales]]</f>
        <v>166.4</v>
      </c>
    </row>
    <row r="1047" spans="1:9" x14ac:dyDescent="0.3">
      <c r="A1047" s="1">
        <v>43291</v>
      </c>
      <c r="B1047" t="s">
        <v>7</v>
      </c>
      <c r="C1047" t="s">
        <v>8</v>
      </c>
      <c r="D1047">
        <v>6</v>
      </c>
      <c r="E1047">
        <v>80</v>
      </c>
      <c r="F1047">
        <v>7.0000000000000007E-2</v>
      </c>
      <c r="G1047" t="s">
        <v>12</v>
      </c>
      <c r="H1047">
        <v>480</v>
      </c>
      <c r="I1047">
        <f>(Table1_1[[#This Row],[Total sales]]*Table1_1[[#This Row],[Commission]])+Table1_1[[#This Row],[Total sales]]</f>
        <v>513.6</v>
      </c>
    </row>
    <row r="1048" spans="1:9" x14ac:dyDescent="0.3">
      <c r="A1048" s="1">
        <v>43291</v>
      </c>
      <c r="B1048" t="s">
        <v>10</v>
      </c>
      <c r="C1048" t="s">
        <v>18</v>
      </c>
      <c r="D1048">
        <v>11</v>
      </c>
      <c r="E1048">
        <v>40</v>
      </c>
      <c r="F1048">
        <v>0.09</v>
      </c>
      <c r="G1048" t="s">
        <v>14</v>
      </c>
      <c r="H1048">
        <v>440</v>
      </c>
      <c r="I1048">
        <f>(Table1_1[[#This Row],[Total sales]]*Table1_1[[#This Row],[Commission]])+Table1_1[[#This Row],[Total sales]]</f>
        <v>479.6</v>
      </c>
    </row>
    <row r="1049" spans="1:9" x14ac:dyDescent="0.3">
      <c r="A1049" s="1">
        <v>43291</v>
      </c>
      <c r="B1049" t="s">
        <v>7</v>
      </c>
      <c r="C1049" t="s">
        <v>21</v>
      </c>
      <c r="D1049">
        <v>16</v>
      </c>
      <c r="E1049">
        <v>80</v>
      </c>
      <c r="F1049">
        <v>0.09</v>
      </c>
      <c r="G1049" t="s">
        <v>15</v>
      </c>
      <c r="H1049">
        <v>1280</v>
      </c>
      <c r="I1049">
        <f>(Table1_1[[#This Row],[Total sales]]*Table1_1[[#This Row],[Commission]])+Table1_1[[#This Row],[Total sales]]</f>
        <v>1395.2</v>
      </c>
    </row>
    <row r="1050" spans="1:9" x14ac:dyDescent="0.3">
      <c r="A1050" s="1">
        <v>43291</v>
      </c>
      <c r="B1050" t="s">
        <v>10</v>
      </c>
      <c r="C1050" t="s">
        <v>18</v>
      </c>
      <c r="D1050">
        <v>13</v>
      </c>
      <c r="E1050">
        <v>40</v>
      </c>
      <c r="F1050">
        <v>0.09</v>
      </c>
      <c r="G1050" t="s">
        <v>17</v>
      </c>
      <c r="H1050">
        <v>520</v>
      </c>
      <c r="I1050">
        <f>(Table1_1[[#This Row],[Total sales]]*Table1_1[[#This Row],[Commission]])+Table1_1[[#This Row],[Total sales]]</f>
        <v>566.79999999999995</v>
      </c>
    </row>
    <row r="1051" spans="1:9" x14ac:dyDescent="0.3">
      <c r="A1051" s="1">
        <v>43291</v>
      </c>
      <c r="B1051" t="s">
        <v>13</v>
      </c>
      <c r="C1051" t="s">
        <v>8</v>
      </c>
      <c r="D1051">
        <v>5</v>
      </c>
      <c r="E1051">
        <v>230</v>
      </c>
      <c r="F1051">
        <v>0.1</v>
      </c>
      <c r="G1051" t="s">
        <v>19</v>
      </c>
      <c r="H1051">
        <v>1150</v>
      </c>
      <c r="I1051">
        <f>(Table1_1[[#This Row],[Total sales]]*Table1_1[[#This Row],[Commission]])+Table1_1[[#This Row],[Total sales]]</f>
        <v>1265</v>
      </c>
    </row>
    <row r="1052" spans="1:9" x14ac:dyDescent="0.3">
      <c r="A1052" s="1">
        <v>43292</v>
      </c>
      <c r="B1052" t="s">
        <v>10</v>
      </c>
      <c r="C1052" t="s">
        <v>21</v>
      </c>
      <c r="D1052">
        <v>7</v>
      </c>
      <c r="E1052">
        <v>40</v>
      </c>
      <c r="F1052">
        <v>0.05</v>
      </c>
      <c r="G1052" t="s">
        <v>12</v>
      </c>
      <c r="H1052">
        <v>280</v>
      </c>
      <c r="I1052">
        <f>(Table1_1[[#This Row],[Total sales]]*Table1_1[[#This Row],[Commission]])+Table1_1[[#This Row],[Total sales]]</f>
        <v>294</v>
      </c>
    </row>
    <row r="1053" spans="1:9" x14ac:dyDescent="0.3">
      <c r="A1053" s="1">
        <v>43292</v>
      </c>
      <c r="B1053" t="s">
        <v>7</v>
      </c>
      <c r="C1053" t="s">
        <v>16</v>
      </c>
      <c r="D1053">
        <v>14</v>
      </c>
      <c r="E1053">
        <v>80</v>
      </c>
      <c r="F1053">
        <v>0.1</v>
      </c>
      <c r="G1053" t="s">
        <v>14</v>
      </c>
      <c r="H1053">
        <v>1120</v>
      </c>
      <c r="I1053">
        <f>(Table1_1[[#This Row],[Total sales]]*Table1_1[[#This Row],[Commission]])+Table1_1[[#This Row],[Total sales]]</f>
        <v>1232</v>
      </c>
    </row>
    <row r="1054" spans="1:9" x14ac:dyDescent="0.3">
      <c r="A1054" s="1">
        <v>43292</v>
      </c>
      <c r="B1054" t="s">
        <v>20</v>
      </c>
      <c r="C1054" t="s">
        <v>21</v>
      </c>
      <c r="D1054">
        <v>12</v>
      </c>
      <c r="E1054">
        <v>16</v>
      </c>
      <c r="F1054">
        <v>0.04</v>
      </c>
      <c r="G1054" t="s">
        <v>15</v>
      </c>
      <c r="H1054">
        <v>192</v>
      </c>
      <c r="I1054">
        <f>(Table1_1[[#This Row],[Total sales]]*Table1_1[[#This Row],[Commission]])+Table1_1[[#This Row],[Total sales]]</f>
        <v>199.68</v>
      </c>
    </row>
    <row r="1055" spans="1:9" x14ac:dyDescent="0.3">
      <c r="A1055" s="1">
        <v>43292</v>
      </c>
      <c r="B1055" t="s">
        <v>13</v>
      </c>
      <c r="C1055" t="s">
        <v>16</v>
      </c>
      <c r="D1055">
        <v>14</v>
      </c>
      <c r="E1055">
        <v>230</v>
      </c>
      <c r="F1055">
        <v>0.03</v>
      </c>
      <c r="G1055" t="s">
        <v>17</v>
      </c>
      <c r="H1055">
        <v>3220</v>
      </c>
      <c r="I1055">
        <f>(Table1_1[[#This Row],[Total sales]]*Table1_1[[#This Row],[Commission]])+Table1_1[[#This Row],[Total sales]]</f>
        <v>3316.6</v>
      </c>
    </row>
    <row r="1056" spans="1:9" x14ac:dyDescent="0.3">
      <c r="A1056" s="1">
        <v>43292</v>
      </c>
      <c r="B1056" t="s">
        <v>7</v>
      </c>
      <c r="C1056" t="s">
        <v>21</v>
      </c>
      <c r="D1056">
        <v>21</v>
      </c>
      <c r="E1056">
        <v>80</v>
      </c>
      <c r="F1056">
        <v>0.09</v>
      </c>
      <c r="G1056" t="s">
        <v>19</v>
      </c>
      <c r="H1056">
        <v>1680</v>
      </c>
      <c r="I1056">
        <f>(Table1_1[[#This Row],[Total sales]]*Table1_1[[#This Row],[Commission]])+Table1_1[[#This Row],[Total sales]]</f>
        <v>1831.2</v>
      </c>
    </row>
    <row r="1057" spans="1:9" x14ac:dyDescent="0.3">
      <c r="A1057" s="1">
        <v>43292</v>
      </c>
      <c r="B1057" t="s">
        <v>13</v>
      </c>
      <c r="C1057" t="s">
        <v>16</v>
      </c>
      <c r="D1057">
        <v>5</v>
      </c>
      <c r="E1057">
        <v>230</v>
      </c>
      <c r="F1057">
        <v>0.1</v>
      </c>
      <c r="G1057" t="s">
        <v>22</v>
      </c>
      <c r="H1057">
        <v>1150</v>
      </c>
      <c r="I1057">
        <f>(Table1_1[[#This Row],[Total sales]]*Table1_1[[#This Row],[Commission]])+Table1_1[[#This Row],[Total sales]]</f>
        <v>1265</v>
      </c>
    </row>
    <row r="1058" spans="1:9" x14ac:dyDescent="0.3">
      <c r="A1058" s="1">
        <v>43292</v>
      </c>
      <c r="B1058" t="s">
        <v>10</v>
      </c>
      <c r="C1058" t="s">
        <v>21</v>
      </c>
      <c r="D1058">
        <v>16</v>
      </c>
      <c r="E1058">
        <v>40</v>
      </c>
      <c r="F1058">
        <v>0.09</v>
      </c>
      <c r="G1058" t="s">
        <v>24</v>
      </c>
      <c r="H1058">
        <v>640</v>
      </c>
      <c r="I1058">
        <f>(Table1_1[[#This Row],[Total sales]]*Table1_1[[#This Row],[Commission]])+Table1_1[[#This Row],[Total sales]]</f>
        <v>697.6</v>
      </c>
    </row>
    <row r="1059" spans="1:9" x14ac:dyDescent="0.3">
      <c r="A1059" s="1">
        <v>43292</v>
      </c>
      <c r="B1059" t="s">
        <v>23</v>
      </c>
      <c r="C1059" t="s">
        <v>11</v>
      </c>
      <c r="D1059">
        <v>15</v>
      </c>
      <c r="E1059">
        <v>150</v>
      </c>
      <c r="F1059">
        <v>0.12</v>
      </c>
      <c r="G1059" t="s">
        <v>25</v>
      </c>
      <c r="H1059">
        <v>2250</v>
      </c>
      <c r="I1059">
        <f>(Table1_1[[#This Row],[Total sales]]*Table1_1[[#This Row],[Commission]])+Table1_1[[#This Row],[Total sales]]</f>
        <v>2520</v>
      </c>
    </row>
    <row r="1060" spans="1:9" x14ac:dyDescent="0.3">
      <c r="A1060" s="1">
        <v>43292</v>
      </c>
      <c r="B1060" t="s">
        <v>20</v>
      </c>
      <c r="C1060" t="s">
        <v>21</v>
      </c>
      <c r="D1060">
        <v>23</v>
      </c>
      <c r="E1060">
        <v>16</v>
      </c>
      <c r="F1060">
        <v>0.01</v>
      </c>
      <c r="G1060" t="s">
        <v>26</v>
      </c>
      <c r="H1060">
        <v>368</v>
      </c>
      <c r="I1060">
        <f>(Table1_1[[#This Row],[Total sales]]*Table1_1[[#This Row],[Commission]])+Table1_1[[#This Row],[Total sales]]</f>
        <v>371.68</v>
      </c>
    </row>
    <row r="1061" spans="1:9" x14ac:dyDescent="0.3">
      <c r="A1061" s="1">
        <v>43292</v>
      </c>
      <c r="B1061" t="s">
        <v>20</v>
      </c>
      <c r="C1061" t="s">
        <v>11</v>
      </c>
      <c r="D1061">
        <v>22</v>
      </c>
      <c r="E1061">
        <v>16</v>
      </c>
      <c r="F1061">
        <v>0.04</v>
      </c>
      <c r="G1061" t="s">
        <v>27</v>
      </c>
      <c r="H1061">
        <v>352</v>
      </c>
      <c r="I1061">
        <f>(Table1_1[[#This Row],[Total sales]]*Table1_1[[#This Row],[Commission]])+Table1_1[[#This Row],[Total sales]]</f>
        <v>366.08</v>
      </c>
    </row>
    <row r="1062" spans="1:9" x14ac:dyDescent="0.3">
      <c r="A1062" s="1">
        <v>43292</v>
      </c>
      <c r="B1062" t="s">
        <v>7</v>
      </c>
      <c r="C1062" t="s">
        <v>8</v>
      </c>
      <c r="D1062">
        <v>20</v>
      </c>
      <c r="E1062">
        <v>80</v>
      </c>
      <c r="F1062">
        <v>0.01</v>
      </c>
      <c r="G1062" t="s">
        <v>28</v>
      </c>
      <c r="H1062">
        <v>1600</v>
      </c>
      <c r="I1062">
        <f>(Table1_1[[#This Row],[Total sales]]*Table1_1[[#This Row],[Commission]])+Table1_1[[#This Row],[Total sales]]</f>
        <v>1616</v>
      </c>
    </row>
    <row r="1063" spans="1:9" x14ac:dyDescent="0.3">
      <c r="A1063" s="1">
        <v>43292</v>
      </c>
      <c r="B1063" t="s">
        <v>10</v>
      </c>
      <c r="C1063" t="s">
        <v>18</v>
      </c>
      <c r="D1063">
        <v>6</v>
      </c>
      <c r="E1063">
        <v>40</v>
      </c>
      <c r="F1063">
        <v>7.0000000000000007E-2</v>
      </c>
      <c r="G1063" t="s">
        <v>9</v>
      </c>
      <c r="H1063">
        <v>240</v>
      </c>
      <c r="I1063">
        <f>(Table1_1[[#This Row],[Total sales]]*Table1_1[[#This Row],[Commission]])+Table1_1[[#This Row],[Total sales]]</f>
        <v>256.8</v>
      </c>
    </row>
    <row r="1064" spans="1:9" x14ac:dyDescent="0.3">
      <c r="A1064" s="1">
        <v>43293</v>
      </c>
      <c r="B1064" t="s">
        <v>23</v>
      </c>
      <c r="C1064" t="s">
        <v>11</v>
      </c>
      <c r="D1064">
        <v>10</v>
      </c>
      <c r="E1064">
        <v>150</v>
      </c>
      <c r="F1064">
        <v>0.01</v>
      </c>
      <c r="G1064" t="s">
        <v>12</v>
      </c>
      <c r="H1064">
        <v>1500</v>
      </c>
      <c r="I1064">
        <f>(Table1_1[[#This Row],[Total sales]]*Table1_1[[#This Row],[Commission]])+Table1_1[[#This Row],[Total sales]]</f>
        <v>1515</v>
      </c>
    </row>
    <row r="1065" spans="1:9" x14ac:dyDescent="0.3">
      <c r="A1065" s="1">
        <v>43293</v>
      </c>
      <c r="B1065" t="s">
        <v>7</v>
      </c>
      <c r="C1065" t="s">
        <v>18</v>
      </c>
      <c r="D1065">
        <v>17</v>
      </c>
      <c r="E1065">
        <v>80</v>
      </c>
      <c r="F1065">
        <v>0.05</v>
      </c>
      <c r="G1065" t="s">
        <v>14</v>
      </c>
      <c r="H1065">
        <v>1360</v>
      </c>
      <c r="I1065">
        <f>(Table1_1[[#This Row],[Total sales]]*Table1_1[[#This Row],[Commission]])+Table1_1[[#This Row],[Total sales]]</f>
        <v>1428</v>
      </c>
    </row>
    <row r="1066" spans="1:9" x14ac:dyDescent="0.3">
      <c r="A1066" s="1">
        <v>43293</v>
      </c>
      <c r="B1066" t="s">
        <v>23</v>
      </c>
      <c r="C1066" t="s">
        <v>8</v>
      </c>
      <c r="D1066">
        <v>13</v>
      </c>
      <c r="E1066">
        <v>150</v>
      </c>
      <c r="F1066">
        <v>0.05</v>
      </c>
      <c r="G1066" t="s">
        <v>15</v>
      </c>
      <c r="H1066">
        <v>1950</v>
      </c>
      <c r="I1066">
        <f>(Table1_1[[#This Row],[Total sales]]*Table1_1[[#This Row],[Commission]])+Table1_1[[#This Row],[Total sales]]</f>
        <v>2047.5</v>
      </c>
    </row>
    <row r="1067" spans="1:9" x14ac:dyDescent="0.3">
      <c r="A1067" s="1">
        <v>43293</v>
      </c>
      <c r="B1067" t="s">
        <v>13</v>
      </c>
      <c r="C1067" t="s">
        <v>18</v>
      </c>
      <c r="D1067">
        <v>8</v>
      </c>
      <c r="E1067">
        <v>230</v>
      </c>
      <c r="F1067">
        <v>0.05</v>
      </c>
      <c r="G1067" t="s">
        <v>17</v>
      </c>
      <c r="H1067">
        <v>1840</v>
      </c>
      <c r="I1067">
        <f>(Table1_1[[#This Row],[Total sales]]*Table1_1[[#This Row],[Commission]])+Table1_1[[#This Row],[Total sales]]</f>
        <v>1932</v>
      </c>
    </row>
    <row r="1068" spans="1:9" x14ac:dyDescent="0.3">
      <c r="A1068" s="1">
        <v>43293</v>
      </c>
      <c r="B1068" t="s">
        <v>20</v>
      </c>
      <c r="C1068" t="s">
        <v>8</v>
      </c>
      <c r="D1068">
        <v>10</v>
      </c>
      <c r="E1068">
        <v>16</v>
      </c>
      <c r="F1068">
        <v>0.08</v>
      </c>
      <c r="G1068" t="s">
        <v>19</v>
      </c>
      <c r="H1068">
        <v>160</v>
      </c>
      <c r="I1068">
        <f>(Table1_1[[#This Row],[Total sales]]*Table1_1[[#This Row],[Commission]])+Table1_1[[#This Row],[Total sales]]</f>
        <v>172.8</v>
      </c>
    </row>
    <row r="1069" spans="1:9" x14ac:dyDescent="0.3">
      <c r="A1069" s="1">
        <v>43293</v>
      </c>
      <c r="B1069" t="s">
        <v>10</v>
      </c>
      <c r="C1069" t="s">
        <v>11</v>
      </c>
      <c r="D1069">
        <v>4</v>
      </c>
      <c r="E1069">
        <v>40</v>
      </c>
      <c r="F1069">
        <v>0.06</v>
      </c>
      <c r="G1069" t="s">
        <v>12</v>
      </c>
      <c r="H1069">
        <v>160</v>
      </c>
      <c r="I1069">
        <f>(Table1_1[[#This Row],[Total sales]]*Table1_1[[#This Row],[Commission]])+Table1_1[[#This Row],[Total sales]]</f>
        <v>169.6</v>
      </c>
    </row>
    <row r="1070" spans="1:9" x14ac:dyDescent="0.3">
      <c r="A1070" s="1">
        <v>43293</v>
      </c>
      <c r="B1070" t="s">
        <v>10</v>
      </c>
      <c r="C1070" t="s">
        <v>21</v>
      </c>
      <c r="D1070">
        <v>18</v>
      </c>
      <c r="E1070">
        <v>40</v>
      </c>
      <c r="F1070">
        <v>0.06</v>
      </c>
      <c r="G1070" t="s">
        <v>14</v>
      </c>
      <c r="H1070">
        <v>720</v>
      </c>
      <c r="I1070">
        <f>(Table1_1[[#This Row],[Total sales]]*Table1_1[[#This Row],[Commission]])+Table1_1[[#This Row],[Total sales]]</f>
        <v>763.2</v>
      </c>
    </row>
    <row r="1071" spans="1:9" x14ac:dyDescent="0.3">
      <c r="A1071" s="1">
        <v>43293</v>
      </c>
      <c r="B1071" t="s">
        <v>23</v>
      </c>
      <c r="C1071" t="s">
        <v>18</v>
      </c>
      <c r="D1071">
        <v>15</v>
      </c>
      <c r="E1071">
        <v>150</v>
      </c>
      <c r="F1071">
        <v>0.05</v>
      </c>
      <c r="G1071" t="s">
        <v>15</v>
      </c>
      <c r="H1071">
        <v>2250</v>
      </c>
      <c r="I1071">
        <f>(Table1_1[[#This Row],[Total sales]]*Table1_1[[#This Row],[Commission]])+Table1_1[[#This Row],[Total sales]]</f>
        <v>2362.5</v>
      </c>
    </row>
    <row r="1072" spans="1:9" x14ac:dyDescent="0.3">
      <c r="A1072" s="1">
        <v>43293</v>
      </c>
      <c r="B1072" t="s">
        <v>23</v>
      </c>
      <c r="C1072" t="s">
        <v>18</v>
      </c>
      <c r="D1072">
        <v>3</v>
      </c>
      <c r="E1072">
        <v>150</v>
      </c>
      <c r="F1072">
        <v>0.01</v>
      </c>
      <c r="G1072" t="s">
        <v>17</v>
      </c>
      <c r="H1072">
        <v>450</v>
      </c>
      <c r="I1072">
        <f>(Table1_1[[#This Row],[Total sales]]*Table1_1[[#This Row],[Commission]])+Table1_1[[#This Row],[Total sales]]</f>
        <v>454.5</v>
      </c>
    </row>
    <row r="1073" spans="1:9" x14ac:dyDescent="0.3">
      <c r="A1073" s="1">
        <v>43293</v>
      </c>
      <c r="B1073" t="s">
        <v>20</v>
      </c>
      <c r="C1073" t="s">
        <v>8</v>
      </c>
      <c r="D1073">
        <v>12</v>
      </c>
      <c r="E1073">
        <v>16</v>
      </c>
      <c r="F1073">
        <v>0.11</v>
      </c>
      <c r="G1073" t="s">
        <v>19</v>
      </c>
      <c r="H1073">
        <v>192</v>
      </c>
      <c r="I1073">
        <f>(Table1_1[[#This Row],[Total sales]]*Table1_1[[#This Row],[Commission]])+Table1_1[[#This Row],[Total sales]]</f>
        <v>213.12</v>
      </c>
    </row>
    <row r="1074" spans="1:9" x14ac:dyDescent="0.3">
      <c r="A1074" s="1">
        <v>43294</v>
      </c>
      <c r="B1074" t="s">
        <v>7</v>
      </c>
      <c r="C1074" t="s">
        <v>21</v>
      </c>
      <c r="D1074">
        <v>17</v>
      </c>
      <c r="E1074">
        <v>80</v>
      </c>
      <c r="F1074">
        <v>7.0000000000000007E-2</v>
      </c>
      <c r="G1074" t="s">
        <v>22</v>
      </c>
      <c r="H1074">
        <v>1360</v>
      </c>
      <c r="I1074">
        <f>(Table1_1[[#This Row],[Total sales]]*Table1_1[[#This Row],[Commission]])+Table1_1[[#This Row],[Total sales]]</f>
        <v>1455.2</v>
      </c>
    </row>
    <row r="1075" spans="1:9" x14ac:dyDescent="0.3">
      <c r="A1075" s="1">
        <v>43294</v>
      </c>
      <c r="B1075" t="s">
        <v>13</v>
      </c>
      <c r="C1075" t="s">
        <v>8</v>
      </c>
      <c r="D1075">
        <v>3</v>
      </c>
      <c r="E1075">
        <v>230</v>
      </c>
      <c r="F1075">
        <v>0.06</v>
      </c>
      <c r="G1075" t="s">
        <v>24</v>
      </c>
      <c r="H1075">
        <v>690</v>
      </c>
      <c r="I1075">
        <f>(Table1_1[[#This Row],[Total sales]]*Table1_1[[#This Row],[Commission]])+Table1_1[[#This Row],[Total sales]]</f>
        <v>731.4</v>
      </c>
    </row>
    <row r="1076" spans="1:9" x14ac:dyDescent="0.3">
      <c r="A1076" s="1">
        <v>43294</v>
      </c>
      <c r="B1076" t="s">
        <v>7</v>
      </c>
      <c r="C1076" t="s">
        <v>16</v>
      </c>
      <c r="D1076">
        <v>20</v>
      </c>
      <c r="E1076">
        <v>80</v>
      </c>
      <c r="F1076">
        <v>7.0000000000000007E-2</v>
      </c>
      <c r="G1076" t="s">
        <v>25</v>
      </c>
      <c r="H1076">
        <v>1600</v>
      </c>
      <c r="I1076">
        <f>(Table1_1[[#This Row],[Total sales]]*Table1_1[[#This Row],[Commission]])+Table1_1[[#This Row],[Total sales]]</f>
        <v>1712</v>
      </c>
    </row>
    <row r="1077" spans="1:9" x14ac:dyDescent="0.3">
      <c r="A1077" s="1">
        <v>43294</v>
      </c>
      <c r="B1077" t="s">
        <v>13</v>
      </c>
      <c r="C1077" t="s">
        <v>11</v>
      </c>
      <c r="D1077">
        <v>14</v>
      </c>
      <c r="E1077">
        <v>230</v>
      </c>
      <c r="F1077">
        <v>0.05</v>
      </c>
      <c r="G1077" t="s">
        <v>26</v>
      </c>
      <c r="H1077">
        <v>3220</v>
      </c>
      <c r="I1077">
        <f>(Table1_1[[#This Row],[Total sales]]*Table1_1[[#This Row],[Commission]])+Table1_1[[#This Row],[Total sales]]</f>
        <v>3381</v>
      </c>
    </row>
    <row r="1078" spans="1:9" x14ac:dyDescent="0.3">
      <c r="A1078" s="1">
        <v>43294</v>
      </c>
      <c r="B1078" t="s">
        <v>10</v>
      </c>
      <c r="C1078" t="s">
        <v>21</v>
      </c>
      <c r="D1078">
        <v>16</v>
      </c>
      <c r="E1078">
        <v>40</v>
      </c>
      <c r="F1078">
        <v>0.09</v>
      </c>
      <c r="G1078" t="s">
        <v>27</v>
      </c>
      <c r="H1078">
        <v>640</v>
      </c>
      <c r="I1078">
        <f>(Table1_1[[#This Row],[Total sales]]*Table1_1[[#This Row],[Commission]])+Table1_1[[#This Row],[Total sales]]</f>
        <v>697.6</v>
      </c>
    </row>
    <row r="1079" spans="1:9" x14ac:dyDescent="0.3">
      <c r="A1079" s="1">
        <v>43294</v>
      </c>
      <c r="B1079" t="s">
        <v>20</v>
      </c>
      <c r="C1079" t="s">
        <v>11</v>
      </c>
      <c r="D1079">
        <v>7</v>
      </c>
      <c r="E1079">
        <v>16</v>
      </c>
      <c r="F1079">
        <v>0.08</v>
      </c>
      <c r="G1079" t="s">
        <v>28</v>
      </c>
      <c r="H1079">
        <v>112</v>
      </c>
      <c r="I1079">
        <f>(Table1_1[[#This Row],[Total sales]]*Table1_1[[#This Row],[Commission]])+Table1_1[[#This Row],[Total sales]]</f>
        <v>120.96000000000001</v>
      </c>
    </row>
    <row r="1080" spans="1:9" x14ac:dyDescent="0.3">
      <c r="A1080" s="1">
        <v>43294</v>
      </c>
      <c r="B1080" t="s">
        <v>10</v>
      </c>
      <c r="C1080" t="s">
        <v>11</v>
      </c>
      <c r="D1080">
        <v>19</v>
      </c>
      <c r="E1080">
        <v>40</v>
      </c>
      <c r="F1080">
        <v>0.1</v>
      </c>
      <c r="G1080" t="s">
        <v>9</v>
      </c>
      <c r="H1080">
        <v>760</v>
      </c>
      <c r="I1080">
        <f>(Table1_1[[#This Row],[Total sales]]*Table1_1[[#This Row],[Commission]])+Table1_1[[#This Row],[Total sales]]</f>
        <v>836</v>
      </c>
    </row>
    <row r="1081" spans="1:9" x14ac:dyDescent="0.3">
      <c r="A1081" s="1">
        <v>43294</v>
      </c>
      <c r="B1081" t="s">
        <v>13</v>
      </c>
      <c r="C1081" t="s">
        <v>18</v>
      </c>
      <c r="D1081">
        <v>7</v>
      </c>
      <c r="E1081">
        <v>230</v>
      </c>
      <c r="F1081">
        <v>0.06</v>
      </c>
      <c r="G1081" t="s">
        <v>12</v>
      </c>
      <c r="H1081">
        <v>1610</v>
      </c>
      <c r="I1081">
        <f>(Table1_1[[#This Row],[Total sales]]*Table1_1[[#This Row],[Commission]])+Table1_1[[#This Row],[Total sales]]</f>
        <v>1706.6</v>
      </c>
    </row>
    <row r="1082" spans="1:9" x14ac:dyDescent="0.3">
      <c r="A1082" s="1">
        <v>43294</v>
      </c>
      <c r="B1082" t="s">
        <v>10</v>
      </c>
      <c r="C1082" t="s">
        <v>21</v>
      </c>
      <c r="D1082">
        <v>20</v>
      </c>
      <c r="E1082">
        <v>40</v>
      </c>
      <c r="F1082">
        <v>0.03</v>
      </c>
      <c r="G1082" t="s">
        <v>14</v>
      </c>
      <c r="H1082">
        <v>800</v>
      </c>
      <c r="I1082">
        <f>(Table1_1[[#This Row],[Total sales]]*Table1_1[[#This Row],[Commission]])+Table1_1[[#This Row],[Total sales]]</f>
        <v>824</v>
      </c>
    </row>
    <row r="1083" spans="1:9" x14ac:dyDescent="0.3">
      <c r="A1083" s="1">
        <v>43294</v>
      </c>
      <c r="B1083" t="s">
        <v>20</v>
      </c>
      <c r="C1083" t="s">
        <v>16</v>
      </c>
      <c r="D1083">
        <v>11</v>
      </c>
      <c r="E1083">
        <v>16</v>
      </c>
      <c r="F1083">
        <v>0.12</v>
      </c>
      <c r="G1083" t="s">
        <v>15</v>
      </c>
      <c r="H1083">
        <v>176</v>
      </c>
      <c r="I1083">
        <f>(Table1_1[[#This Row],[Total sales]]*Table1_1[[#This Row],[Commission]])+Table1_1[[#This Row],[Total sales]]</f>
        <v>197.12</v>
      </c>
    </row>
    <row r="1084" spans="1:9" x14ac:dyDescent="0.3">
      <c r="A1084" s="1">
        <v>43294</v>
      </c>
      <c r="B1084" t="s">
        <v>7</v>
      </c>
      <c r="C1084" t="s">
        <v>21</v>
      </c>
      <c r="D1084">
        <v>16</v>
      </c>
      <c r="E1084">
        <v>80</v>
      </c>
      <c r="F1084">
        <v>0.09</v>
      </c>
      <c r="G1084" t="s">
        <v>17</v>
      </c>
      <c r="H1084">
        <v>1280</v>
      </c>
      <c r="I1084">
        <f>(Table1_1[[#This Row],[Total sales]]*Table1_1[[#This Row],[Commission]])+Table1_1[[#This Row],[Total sales]]</f>
        <v>1395.2</v>
      </c>
    </row>
    <row r="1085" spans="1:9" x14ac:dyDescent="0.3">
      <c r="A1085" s="1">
        <v>43294</v>
      </c>
      <c r="B1085" t="s">
        <v>20</v>
      </c>
      <c r="C1085" t="s">
        <v>8</v>
      </c>
      <c r="D1085">
        <v>21</v>
      </c>
      <c r="E1085">
        <v>16</v>
      </c>
      <c r="F1085">
        <v>0.09</v>
      </c>
      <c r="G1085" t="s">
        <v>19</v>
      </c>
      <c r="H1085">
        <v>336</v>
      </c>
      <c r="I1085">
        <f>(Table1_1[[#This Row],[Total sales]]*Table1_1[[#This Row],[Commission]])+Table1_1[[#This Row],[Total sales]]</f>
        <v>366.24</v>
      </c>
    </row>
    <row r="1086" spans="1:9" x14ac:dyDescent="0.3">
      <c r="A1086" s="1">
        <v>43294</v>
      </c>
      <c r="B1086" t="s">
        <v>20</v>
      </c>
      <c r="C1086" t="s">
        <v>8</v>
      </c>
      <c r="D1086">
        <v>22</v>
      </c>
      <c r="E1086">
        <v>16</v>
      </c>
      <c r="F1086">
        <v>0.01</v>
      </c>
      <c r="G1086" t="s">
        <v>12</v>
      </c>
      <c r="H1086">
        <v>352</v>
      </c>
      <c r="I1086">
        <f>(Table1_1[[#This Row],[Total sales]]*Table1_1[[#This Row],[Commission]])+Table1_1[[#This Row],[Total sales]]</f>
        <v>355.52</v>
      </c>
    </row>
    <row r="1087" spans="1:9" x14ac:dyDescent="0.3">
      <c r="A1087" s="1">
        <v>43294</v>
      </c>
      <c r="B1087" t="s">
        <v>13</v>
      </c>
      <c r="C1087" t="s">
        <v>18</v>
      </c>
      <c r="D1087">
        <v>23</v>
      </c>
      <c r="E1087">
        <v>230</v>
      </c>
      <c r="F1087">
        <v>0.06</v>
      </c>
      <c r="G1087" t="s">
        <v>14</v>
      </c>
      <c r="H1087">
        <v>5290</v>
      </c>
      <c r="I1087">
        <f>(Table1_1[[#This Row],[Total sales]]*Table1_1[[#This Row],[Commission]])+Table1_1[[#This Row],[Total sales]]</f>
        <v>5607.4</v>
      </c>
    </row>
    <row r="1088" spans="1:9" x14ac:dyDescent="0.3">
      <c r="A1088" s="1">
        <v>43294</v>
      </c>
      <c r="B1088" t="s">
        <v>23</v>
      </c>
      <c r="C1088" t="s">
        <v>8</v>
      </c>
      <c r="D1088">
        <v>9</v>
      </c>
      <c r="E1088">
        <v>150</v>
      </c>
      <c r="F1088">
        <v>0.1</v>
      </c>
      <c r="G1088" t="s">
        <v>15</v>
      </c>
      <c r="H1088">
        <v>1350</v>
      </c>
      <c r="I1088">
        <f>(Table1_1[[#This Row],[Total sales]]*Table1_1[[#This Row],[Commission]])+Table1_1[[#This Row],[Total sales]]</f>
        <v>1485</v>
      </c>
    </row>
    <row r="1089" spans="1:9" x14ac:dyDescent="0.3">
      <c r="A1089" s="1">
        <v>43294</v>
      </c>
      <c r="B1089" t="s">
        <v>23</v>
      </c>
      <c r="C1089" t="s">
        <v>16</v>
      </c>
      <c r="D1089">
        <v>9</v>
      </c>
      <c r="E1089">
        <v>150</v>
      </c>
      <c r="F1089">
        <v>0.06</v>
      </c>
      <c r="G1089" t="s">
        <v>17</v>
      </c>
      <c r="H1089">
        <v>1350</v>
      </c>
      <c r="I1089">
        <f>(Table1_1[[#This Row],[Total sales]]*Table1_1[[#This Row],[Commission]])+Table1_1[[#This Row],[Total sales]]</f>
        <v>1431</v>
      </c>
    </row>
    <row r="1090" spans="1:9" x14ac:dyDescent="0.3">
      <c r="A1090" s="1">
        <v>43295</v>
      </c>
      <c r="B1090" t="s">
        <v>13</v>
      </c>
      <c r="C1090" t="s">
        <v>8</v>
      </c>
      <c r="D1090">
        <v>9</v>
      </c>
      <c r="E1090">
        <v>230</v>
      </c>
      <c r="F1090">
        <v>7.0000000000000007E-2</v>
      </c>
      <c r="G1090" t="s">
        <v>19</v>
      </c>
      <c r="H1090">
        <v>2070</v>
      </c>
      <c r="I1090">
        <f>(Table1_1[[#This Row],[Total sales]]*Table1_1[[#This Row],[Commission]])+Table1_1[[#This Row],[Total sales]]</f>
        <v>2214.9</v>
      </c>
    </row>
    <row r="1091" spans="1:9" x14ac:dyDescent="0.3">
      <c r="A1091" s="1">
        <v>43295</v>
      </c>
      <c r="B1091" t="s">
        <v>7</v>
      </c>
      <c r="C1091" t="s">
        <v>16</v>
      </c>
      <c r="D1091">
        <v>10</v>
      </c>
      <c r="E1091">
        <v>80</v>
      </c>
      <c r="F1091">
        <v>0.08</v>
      </c>
      <c r="G1091" t="s">
        <v>22</v>
      </c>
      <c r="H1091">
        <v>800</v>
      </c>
      <c r="I1091">
        <f>(Table1_1[[#This Row],[Total sales]]*Table1_1[[#This Row],[Commission]])+Table1_1[[#This Row],[Total sales]]</f>
        <v>864</v>
      </c>
    </row>
    <row r="1092" spans="1:9" x14ac:dyDescent="0.3">
      <c r="A1092" s="1">
        <v>43295</v>
      </c>
      <c r="B1092" t="s">
        <v>20</v>
      </c>
      <c r="C1092" t="s">
        <v>16</v>
      </c>
      <c r="D1092">
        <v>23</v>
      </c>
      <c r="E1092">
        <v>16</v>
      </c>
      <c r="F1092">
        <v>0.11</v>
      </c>
      <c r="G1092" t="s">
        <v>24</v>
      </c>
      <c r="H1092">
        <v>368</v>
      </c>
      <c r="I1092">
        <f>(Table1_1[[#This Row],[Total sales]]*Table1_1[[#This Row],[Commission]])+Table1_1[[#This Row],[Total sales]]</f>
        <v>408.48</v>
      </c>
    </row>
    <row r="1093" spans="1:9" x14ac:dyDescent="0.3">
      <c r="A1093" s="1">
        <v>43295</v>
      </c>
      <c r="B1093" t="s">
        <v>7</v>
      </c>
      <c r="C1093" t="s">
        <v>18</v>
      </c>
      <c r="D1093">
        <v>22</v>
      </c>
      <c r="E1093">
        <v>80</v>
      </c>
      <c r="F1093">
        <v>0.03</v>
      </c>
      <c r="G1093" t="s">
        <v>25</v>
      </c>
      <c r="H1093">
        <v>1760</v>
      </c>
      <c r="I1093">
        <f>(Table1_1[[#This Row],[Total sales]]*Table1_1[[#This Row],[Commission]])+Table1_1[[#This Row],[Total sales]]</f>
        <v>1812.8</v>
      </c>
    </row>
    <row r="1094" spans="1:9" x14ac:dyDescent="0.3">
      <c r="A1094" s="1">
        <v>43295</v>
      </c>
      <c r="B1094" t="s">
        <v>7</v>
      </c>
      <c r="C1094" t="s">
        <v>18</v>
      </c>
      <c r="D1094">
        <v>4</v>
      </c>
      <c r="E1094">
        <v>80</v>
      </c>
      <c r="F1094">
        <v>0.11</v>
      </c>
      <c r="G1094" t="s">
        <v>26</v>
      </c>
      <c r="H1094">
        <v>320</v>
      </c>
      <c r="I1094">
        <f>(Table1_1[[#This Row],[Total sales]]*Table1_1[[#This Row],[Commission]])+Table1_1[[#This Row],[Total sales]]</f>
        <v>355.2</v>
      </c>
    </row>
    <row r="1095" spans="1:9" x14ac:dyDescent="0.3">
      <c r="A1095" s="1">
        <v>43295</v>
      </c>
      <c r="B1095" t="s">
        <v>20</v>
      </c>
      <c r="C1095" t="s">
        <v>8</v>
      </c>
      <c r="D1095">
        <v>22</v>
      </c>
      <c r="E1095">
        <v>16</v>
      </c>
      <c r="F1095">
        <v>0.06</v>
      </c>
      <c r="G1095" t="s">
        <v>27</v>
      </c>
      <c r="H1095">
        <v>352</v>
      </c>
      <c r="I1095">
        <f>(Table1_1[[#This Row],[Total sales]]*Table1_1[[#This Row],[Commission]])+Table1_1[[#This Row],[Total sales]]</f>
        <v>373.12</v>
      </c>
    </row>
    <row r="1096" spans="1:9" x14ac:dyDescent="0.3">
      <c r="A1096" s="1">
        <v>43295</v>
      </c>
      <c r="B1096" t="s">
        <v>10</v>
      </c>
      <c r="C1096" t="s">
        <v>11</v>
      </c>
      <c r="D1096">
        <v>15</v>
      </c>
      <c r="E1096">
        <v>40</v>
      </c>
      <c r="F1096">
        <v>0.02</v>
      </c>
      <c r="G1096" t="s">
        <v>28</v>
      </c>
      <c r="H1096">
        <v>600</v>
      </c>
      <c r="I1096">
        <f>(Table1_1[[#This Row],[Total sales]]*Table1_1[[#This Row],[Commission]])+Table1_1[[#This Row],[Total sales]]</f>
        <v>612</v>
      </c>
    </row>
    <row r="1097" spans="1:9" x14ac:dyDescent="0.3">
      <c r="A1097" s="1">
        <v>43295</v>
      </c>
      <c r="B1097" t="s">
        <v>10</v>
      </c>
      <c r="C1097" t="s">
        <v>21</v>
      </c>
      <c r="D1097">
        <v>7</v>
      </c>
      <c r="E1097">
        <v>40</v>
      </c>
      <c r="F1097">
        <v>0.04</v>
      </c>
      <c r="G1097" t="s">
        <v>9</v>
      </c>
      <c r="H1097">
        <v>280</v>
      </c>
      <c r="I1097">
        <f>(Table1_1[[#This Row],[Total sales]]*Table1_1[[#This Row],[Commission]])+Table1_1[[#This Row],[Total sales]]</f>
        <v>291.2</v>
      </c>
    </row>
    <row r="1098" spans="1:9" x14ac:dyDescent="0.3">
      <c r="A1098" s="1">
        <v>43295</v>
      </c>
      <c r="B1098" t="s">
        <v>20</v>
      </c>
      <c r="C1098" t="s">
        <v>21</v>
      </c>
      <c r="D1098">
        <v>2</v>
      </c>
      <c r="E1098">
        <v>16</v>
      </c>
      <c r="F1098">
        <v>0.04</v>
      </c>
      <c r="G1098" t="s">
        <v>12</v>
      </c>
      <c r="H1098">
        <v>32</v>
      </c>
      <c r="I1098">
        <f>(Table1_1[[#This Row],[Total sales]]*Table1_1[[#This Row],[Commission]])+Table1_1[[#This Row],[Total sales]]</f>
        <v>33.28</v>
      </c>
    </row>
    <row r="1099" spans="1:9" x14ac:dyDescent="0.3">
      <c r="A1099" s="1">
        <v>43295</v>
      </c>
      <c r="B1099" t="s">
        <v>7</v>
      </c>
      <c r="C1099" t="s">
        <v>18</v>
      </c>
      <c r="D1099">
        <v>7</v>
      </c>
      <c r="E1099">
        <v>80</v>
      </c>
      <c r="F1099">
        <v>0.02</v>
      </c>
      <c r="G1099" t="s">
        <v>14</v>
      </c>
      <c r="H1099">
        <v>560</v>
      </c>
      <c r="I1099">
        <f>(Table1_1[[#This Row],[Total sales]]*Table1_1[[#This Row],[Commission]])+Table1_1[[#This Row],[Total sales]]</f>
        <v>571.20000000000005</v>
      </c>
    </row>
    <row r="1100" spans="1:9" x14ac:dyDescent="0.3">
      <c r="A1100" s="1">
        <v>43296</v>
      </c>
      <c r="B1100" t="s">
        <v>20</v>
      </c>
      <c r="C1100" t="s">
        <v>21</v>
      </c>
      <c r="D1100">
        <v>22</v>
      </c>
      <c r="E1100">
        <v>16</v>
      </c>
      <c r="F1100">
        <v>0.12</v>
      </c>
      <c r="G1100" t="s">
        <v>15</v>
      </c>
      <c r="H1100">
        <v>352</v>
      </c>
      <c r="I1100">
        <f>(Table1_1[[#This Row],[Total sales]]*Table1_1[[#This Row],[Commission]])+Table1_1[[#This Row],[Total sales]]</f>
        <v>394.24</v>
      </c>
    </row>
    <row r="1101" spans="1:9" x14ac:dyDescent="0.3">
      <c r="A1101" s="1">
        <v>43296</v>
      </c>
      <c r="B1101" t="s">
        <v>10</v>
      </c>
      <c r="C1101" t="s">
        <v>11</v>
      </c>
      <c r="D1101">
        <v>21</v>
      </c>
      <c r="E1101">
        <v>40</v>
      </c>
      <c r="F1101">
        <v>0.03</v>
      </c>
      <c r="G1101" t="s">
        <v>17</v>
      </c>
      <c r="H1101">
        <v>840</v>
      </c>
      <c r="I1101">
        <f>(Table1_1[[#This Row],[Total sales]]*Table1_1[[#This Row],[Commission]])+Table1_1[[#This Row],[Total sales]]</f>
        <v>865.2</v>
      </c>
    </row>
    <row r="1102" spans="1:9" x14ac:dyDescent="0.3">
      <c r="A1102" s="1">
        <v>43296</v>
      </c>
      <c r="B1102" t="s">
        <v>7</v>
      </c>
      <c r="C1102" t="s">
        <v>8</v>
      </c>
      <c r="D1102">
        <v>6</v>
      </c>
      <c r="E1102">
        <v>80</v>
      </c>
      <c r="F1102">
        <v>0.01</v>
      </c>
      <c r="G1102" t="s">
        <v>19</v>
      </c>
      <c r="H1102">
        <v>480</v>
      </c>
      <c r="I1102">
        <f>(Table1_1[[#This Row],[Total sales]]*Table1_1[[#This Row],[Commission]])+Table1_1[[#This Row],[Total sales]]</f>
        <v>484.8</v>
      </c>
    </row>
    <row r="1103" spans="1:9" x14ac:dyDescent="0.3">
      <c r="A1103" s="1">
        <v>43296</v>
      </c>
      <c r="B1103" t="s">
        <v>7</v>
      </c>
      <c r="C1103" t="s">
        <v>21</v>
      </c>
      <c r="D1103">
        <v>13</v>
      </c>
      <c r="E1103">
        <v>80</v>
      </c>
      <c r="F1103">
        <v>0.05</v>
      </c>
      <c r="G1103" t="s">
        <v>12</v>
      </c>
      <c r="H1103">
        <v>1040</v>
      </c>
      <c r="I1103">
        <f>(Table1_1[[#This Row],[Total sales]]*Table1_1[[#This Row],[Commission]])+Table1_1[[#This Row],[Total sales]]</f>
        <v>1092</v>
      </c>
    </row>
    <row r="1104" spans="1:9" x14ac:dyDescent="0.3">
      <c r="A1104" s="1">
        <v>43296</v>
      </c>
      <c r="B1104" t="s">
        <v>7</v>
      </c>
      <c r="C1104" t="s">
        <v>18</v>
      </c>
      <c r="D1104">
        <v>11</v>
      </c>
      <c r="E1104">
        <v>80</v>
      </c>
      <c r="F1104">
        <v>0.01</v>
      </c>
      <c r="G1104" t="s">
        <v>14</v>
      </c>
      <c r="H1104">
        <v>880</v>
      </c>
      <c r="I1104">
        <f>(Table1_1[[#This Row],[Total sales]]*Table1_1[[#This Row],[Commission]])+Table1_1[[#This Row],[Total sales]]</f>
        <v>888.8</v>
      </c>
    </row>
    <row r="1105" spans="1:9" x14ac:dyDescent="0.3">
      <c r="A1105" s="1">
        <v>43296</v>
      </c>
      <c r="B1105" t="s">
        <v>10</v>
      </c>
      <c r="C1105" t="s">
        <v>8</v>
      </c>
      <c r="D1105">
        <v>18</v>
      </c>
      <c r="E1105">
        <v>40</v>
      </c>
      <c r="F1105">
        <v>0.06</v>
      </c>
      <c r="G1105" t="s">
        <v>15</v>
      </c>
      <c r="H1105">
        <v>720</v>
      </c>
      <c r="I1105">
        <f>(Table1_1[[#This Row],[Total sales]]*Table1_1[[#This Row],[Commission]])+Table1_1[[#This Row],[Total sales]]</f>
        <v>763.2</v>
      </c>
    </row>
    <row r="1106" spans="1:9" x14ac:dyDescent="0.3">
      <c r="A1106" s="1">
        <v>43296</v>
      </c>
      <c r="B1106" t="s">
        <v>23</v>
      </c>
      <c r="C1106" t="s">
        <v>18</v>
      </c>
      <c r="D1106">
        <v>7</v>
      </c>
      <c r="E1106">
        <v>150</v>
      </c>
      <c r="F1106">
        <v>0.05</v>
      </c>
      <c r="G1106" t="s">
        <v>17</v>
      </c>
      <c r="H1106">
        <v>1050</v>
      </c>
      <c r="I1106">
        <f>(Table1_1[[#This Row],[Total sales]]*Table1_1[[#This Row],[Commission]])+Table1_1[[#This Row],[Total sales]]</f>
        <v>1102.5</v>
      </c>
    </row>
    <row r="1107" spans="1:9" x14ac:dyDescent="0.3">
      <c r="A1107" s="1">
        <v>43296</v>
      </c>
      <c r="B1107" t="s">
        <v>10</v>
      </c>
      <c r="C1107" t="s">
        <v>8</v>
      </c>
      <c r="D1107">
        <v>2</v>
      </c>
      <c r="E1107">
        <v>40</v>
      </c>
      <c r="F1107">
        <v>0.12</v>
      </c>
      <c r="G1107" t="s">
        <v>19</v>
      </c>
      <c r="H1107">
        <v>80</v>
      </c>
      <c r="I1107">
        <f>(Table1_1[[#This Row],[Total sales]]*Table1_1[[#This Row],[Commission]])+Table1_1[[#This Row],[Total sales]]</f>
        <v>89.6</v>
      </c>
    </row>
    <row r="1108" spans="1:9" x14ac:dyDescent="0.3">
      <c r="A1108" s="1">
        <v>43296</v>
      </c>
      <c r="B1108" t="s">
        <v>7</v>
      </c>
      <c r="C1108" t="s">
        <v>11</v>
      </c>
      <c r="D1108">
        <v>14</v>
      </c>
      <c r="E1108">
        <v>80</v>
      </c>
      <c r="F1108">
        <v>0.06</v>
      </c>
      <c r="G1108" t="s">
        <v>22</v>
      </c>
      <c r="H1108">
        <v>1120</v>
      </c>
      <c r="I1108">
        <f>(Table1_1[[#This Row],[Total sales]]*Table1_1[[#This Row],[Commission]])+Table1_1[[#This Row],[Total sales]]</f>
        <v>1187.2</v>
      </c>
    </row>
    <row r="1109" spans="1:9" x14ac:dyDescent="0.3">
      <c r="A1109" s="1">
        <v>43296</v>
      </c>
      <c r="B1109" t="s">
        <v>23</v>
      </c>
      <c r="C1109" t="s">
        <v>21</v>
      </c>
      <c r="D1109">
        <v>7</v>
      </c>
      <c r="E1109">
        <v>150</v>
      </c>
      <c r="F1109">
        <v>0.03</v>
      </c>
      <c r="G1109" t="s">
        <v>24</v>
      </c>
      <c r="H1109">
        <v>1050</v>
      </c>
      <c r="I1109">
        <f>(Table1_1[[#This Row],[Total sales]]*Table1_1[[#This Row],[Commission]])+Table1_1[[#This Row],[Total sales]]</f>
        <v>1081.5</v>
      </c>
    </row>
    <row r="1110" spans="1:9" x14ac:dyDescent="0.3">
      <c r="A1110" s="1">
        <v>43296</v>
      </c>
      <c r="B1110" t="s">
        <v>20</v>
      </c>
      <c r="C1110" t="s">
        <v>18</v>
      </c>
      <c r="D1110">
        <v>10</v>
      </c>
      <c r="E1110">
        <v>16</v>
      </c>
      <c r="F1110">
        <v>0.01</v>
      </c>
      <c r="G1110" t="s">
        <v>25</v>
      </c>
      <c r="H1110">
        <v>160</v>
      </c>
      <c r="I1110">
        <f>(Table1_1[[#This Row],[Total sales]]*Table1_1[[#This Row],[Commission]])+Table1_1[[#This Row],[Total sales]]</f>
        <v>161.6</v>
      </c>
    </row>
    <row r="1111" spans="1:9" x14ac:dyDescent="0.3">
      <c r="A1111" s="1">
        <v>43297</v>
      </c>
      <c r="B1111" t="s">
        <v>10</v>
      </c>
      <c r="C1111" t="s">
        <v>11</v>
      </c>
      <c r="D1111">
        <v>7</v>
      </c>
      <c r="E1111">
        <v>40</v>
      </c>
      <c r="F1111">
        <v>0.01</v>
      </c>
      <c r="G1111" t="s">
        <v>26</v>
      </c>
      <c r="H1111">
        <v>280</v>
      </c>
      <c r="I1111">
        <f>(Table1_1[[#This Row],[Total sales]]*Table1_1[[#This Row],[Commission]])+Table1_1[[#This Row],[Total sales]]</f>
        <v>282.8</v>
      </c>
    </row>
    <row r="1112" spans="1:9" x14ac:dyDescent="0.3">
      <c r="A1112" s="1">
        <v>43297</v>
      </c>
      <c r="B1112" t="s">
        <v>20</v>
      </c>
      <c r="C1112" t="s">
        <v>18</v>
      </c>
      <c r="D1112">
        <v>7</v>
      </c>
      <c r="E1112">
        <v>16</v>
      </c>
      <c r="F1112">
        <v>0.08</v>
      </c>
      <c r="G1112" t="s">
        <v>27</v>
      </c>
      <c r="H1112">
        <v>112</v>
      </c>
      <c r="I1112">
        <f>(Table1_1[[#This Row],[Total sales]]*Table1_1[[#This Row],[Commission]])+Table1_1[[#This Row],[Total sales]]</f>
        <v>120.96000000000001</v>
      </c>
    </row>
    <row r="1113" spans="1:9" x14ac:dyDescent="0.3">
      <c r="A1113" s="1">
        <v>43297</v>
      </c>
      <c r="B1113" t="s">
        <v>23</v>
      </c>
      <c r="C1113" t="s">
        <v>16</v>
      </c>
      <c r="D1113">
        <v>15</v>
      </c>
      <c r="E1113">
        <v>150</v>
      </c>
      <c r="F1113">
        <v>0.05</v>
      </c>
      <c r="G1113" t="s">
        <v>28</v>
      </c>
      <c r="H1113">
        <v>2250</v>
      </c>
      <c r="I1113">
        <f>(Table1_1[[#This Row],[Total sales]]*Table1_1[[#This Row],[Commission]])+Table1_1[[#This Row],[Total sales]]</f>
        <v>2362.5</v>
      </c>
    </row>
    <row r="1114" spans="1:9" x14ac:dyDescent="0.3">
      <c r="A1114" s="1">
        <v>43297</v>
      </c>
      <c r="B1114" t="s">
        <v>7</v>
      </c>
      <c r="C1114" t="s">
        <v>8</v>
      </c>
      <c r="D1114">
        <v>7</v>
      </c>
      <c r="E1114">
        <v>80</v>
      </c>
      <c r="F1114">
        <v>0.02</v>
      </c>
      <c r="G1114" t="s">
        <v>9</v>
      </c>
      <c r="H1114">
        <v>560</v>
      </c>
      <c r="I1114">
        <f>(Table1_1[[#This Row],[Total sales]]*Table1_1[[#This Row],[Commission]])+Table1_1[[#This Row],[Total sales]]</f>
        <v>571.20000000000005</v>
      </c>
    </row>
    <row r="1115" spans="1:9" x14ac:dyDescent="0.3">
      <c r="A1115" s="1">
        <v>43297</v>
      </c>
      <c r="B1115" t="s">
        <v>10</v>
      </c>
      <c r="C1115" t="s">
        <v>16</v>
      </c>
      <c r="D1115">
        <v>6</v>
      </c>
      <c r="E1115">
        <v>40</v>
      </c>
      <c r="F1115">
        <v>0.06</v>
      </c>
      <c r="G1115" t="s">
        <v>12</v>
      </c>
      <c r="H1115">
        <v>240</v>
      </c>
      <c r="I1115">
        <f>(Table1_1[[#This Row],[Total sales]]*Table1_1[[#This Row],[Commission]])+Table1_1[[#This Row],[Total sales]]</f>
        <v>254.4</v>
      </c>
    </row>
    <row r="1116" spans="1:9" x14ac:dyDescent="0.3">
      <c r="A1116" s="1">
        <v>43297</v>
      </c>
      <c r="B1116" t="s">
        <v>13</v>
      </c>
      <c r="C1116" t="s">
        <v>8</v>
      </c>
      <c r="D1116">
        <v>3</v>
      </c>
      <c r="E1116">
        <v>230</v>
      </c>
      <c r="F1116">
        <v>0.06</v>
      </c>
      <c r="G1116" t="s">
        <v>14</v>
      </c>
      <c r="H1116">
        <v>690</v>
      </c>
      <c r="I1116">
        <f>(Table1_1[[#This Row],[Total sales]]*Table1_1[[#This Row],[Commission]])+Table1_1[[#This Row],[Total sales]]</f>
        <v>731.4</v>
      </c>
    </row>
    <row r="1117" spans="1:9" x14ac:dyDescent="0.3">
      <c r="A1117" s="1">
        <v>43297</v>
      </c>
      <c r="B1117" t="s">
        <v>23</v>
      </c>
      <c r="C1117" t="s">
        <v>16</v>
      </c>
      <c r="D1117">
        <v>20</v>
      </c>
      <c r="E1117">
        <v>150</v>
      </c>
      <c r="F1117">
        <v>0.04</v>
      </c>
      <c r="G1117" t="s">
        <v>15</v>
      </c>
      <c r="H1117">
        <v>3000</v>
      </c>
      <c r="I1117">
        <f>(Table1_1[[#This Row],[Total sales]]*Table1_1[[#This Row],[Commission]])+Table1_1[[#This Row],[Total sales]]</f>
        <v>3120</v>
      </c>
    </row>
    <row r="1118" spans="1:9" x14ac:dyDescent="0.3">
      <c r="A1118" s="1">
        <v>43297</v>
      </c>
      <c r="B1118" t="s">
        <v>13</v>
      </c>
      <c r="C1118" t="s">
        <v>16</v>
      </c>
      <c r="D1118">
        <v>20</v>
      </c>
      <c r="E1118">
        <v>230</v>
      </c>
      <c r="F1118">
        <v>0.06</v>
      </c>
      <c r="G1118" t="s">
        <v>17</v>
      </c>
      <c r="H1118">
        <v>4600</v>
      </c>
      <c r="I1118">
        <f>(Table1_1[[#This Row],[Total sales]]*Table1_1[[#This Row],[Commission]])+Table1_1[[#This Row],[Total sales]]</f>
        <v>4876</v>
      </c>
    </row>
    <row r="1119" spans="1:9" x14ac:dyDescent="0.3">
      <c r="A1119" s="1">
        <v>43297</v>
      </c>
      <c r="B1119" t="s">
        <v>20</v>
      </c>
      <c r="C1119" t="s">
        <v>16</v>
      </c>
      <c r="D1119">
        <v>14</v>
      </c>
      <c r="E1119">
        <v>16</v>
      </c>
      <c r="F1119">
        <v>0.01</v>
      </c>
      <c r="G1119" t="s">
        <v>19</v>
      </c>
      <c r="H1119">
        <v>224</v>
      </c>
      <c r="I1119">
        <f>(Table1_1[[#This Row],[Total sales]]*Table1_1[[#This Row],[Commission]])+Table1_1[[#This Row],[Total sales]]</f>
        <v>226.24</v>
      </c>
    </row>
    <row r="1120" spans="1:9" x14ac:dyDescent="0.3">
      <c r="A1120" s="1">
        <v>43297</v>
      </c>
      <c r="B1120" t="s">
        <v>23</v>
      </c>
      <c r="C1120" t="s">
        <v>16</v>
      </c>
      <c r="D1120">
        <v>20</v>
      </c>
      <c r="E1120">
        <v>150</v>
      </c>
      <c r="F1120">
        <v>0.04</v>
      </c>
      <c r="G1120" t="s">
        <v>12</v>
      </c>
      <c r="H1120">
        <v>3000</v>
      </c>
      <c r="I1120">
        <f>(Table1_1[[#This Row],[Total sales]]*Table1_1[[#This Row],[Commission]])+Table1_1[[#This Row],[Total sales]]</f>
        <v>3120</v>
      </c>
    </row>
    <row r="1121" spans="1:9" x14ac:dyDescent="0.3">
      <c r="A1121" s="1">
        <v>43297</v>
      </c>
      <c r="B1121" t="s">
        <v>7</v>
      </c>
      <c r="C1121" t="s">
        <v>8</v>
      </c>
      <c r="D1121">
        <v>17</v>
      </c>
      <c r="E1121">
        <v>80</v>
      </c>
      <c r="F1121">
        <v>0.09</v>
      </c>
      <c r="G1121" t="s">
        <v>14</v>
      </c>
      <c r="H1121">
        <v>1360</v>
      </c>
      <c r="I1121">
        <f>(Table1_1[[#This Row],[Total sales]]*Table1_1[[#This Row],[Commission]])+Table1_1[[#This Row],[Total sales]]</f>
        <v>1482.4</v>
      </c>
    </row>
    <row r="1122" spans="1:9" x14ac:dyDescent="0.3">
      <c r="A1122" s="1">
        <v>43298</v>
      </c>
      <c r="B1122" t="s">
        <v>23</v>
      </c>
      <c r="C1122" t="s">
        <v>16</v>
      </c>
      <c r="D1122">
        <v>20</v>
      </c>
      <c r="E1122">
        <v>150</v>
      </c>
      <c r="F1122">
        <v>0.12</v>
      </c>
      <c r="G1122" t="s">
        <v>15</v>
      </c>
      <c r="H1122">
        <v>3000</v>
      </c>
      <c r="I1122">
        <f>(Table1_1[[#This Row],[Total sales]]*Table1_1[[#This Row],[Commission]])+Table1_1[[#This Row],[Total sales]]</f>
        <v>3360</v>
      </c>
    </row>
    <row r="1123" spans="1:9" x14ac:dyDescent="0.3">
      <c r="A1123" s="1">
        <v>43298</v>
      </c>
      <c r="B1123" t="s">
        <v>20</v>
      </c>
      <c r="C1123" t="s">
        <v>16</v>
      </c>
      <c r="D1123">
        <v>11</v>
      </c>
      <c r="E1123">
        <v>16</v>
      </c>
      <c r="F1123">
        <v>0.04</v>
      </c>
      <c r="G1123" t="s">
        <v>17</v>
      </c>
      <c r="H1123">
        <v>176</v>
      </c>
      <c r="I1123">
        <f>(Table1_1[[#This Row],[Total sales]]*Table1_1[[#This Row],[Commission]])+Table1_1[[#This Row],[Total sales]]</f>
        <v>183.04</v>
      </c>
    </row>
    <row r="1124" spans="1:9" x14ac:dyDescent="0.3">
      <c r="A1124" s="1">
        <v>43298</v>
      </c>
      <c r="B1124" t="s">
        <v>13</v>
      </c>
      <c r="C1124" t="s">
        <v>21</v>
      </c>
      <c r="D1124">
        <v>7</v>
      </c>
      <c r="E1124">
        <v>230</v>
      </c>
      <c r="F1124">
        <v>0.05</v>
      </c>
      <c r="G1124" t="s">
        <v>19</v>
      </c>
      <c r="H1124">
        <v>1610</v>
      </c>
      <c r="I1124">
        <f>(Table1_1[[#This Row],[Total sales]]*Table1_1[[#This Row],[Commission]])+Table1_1[[#This Row],[Total sales]]</f>
        <v>1690.5</v>
      </c>
    </row>
    <row r="1125" spans="1:9" x14ac:dyDescent="0.3">
      <c r="A1125" s="1">
        <v>43298</v>
      </c>
      <c r="B1125" t="s">
        <v>10</v>
      </c>
      <c r="C1125" t="s">
        <v>11</v>
      </c>
      <c r="D1125">
        <v>14</v>
      </c>
      <c r="E1125">
        <v>40</v>
      </c>
      <c r="F1125">
        <v>0.06</v>
      </c>
      <c r="G1125" t="s">
        <v>22</v>
      </c>
      <c r="H1125">
        <v>560</v>
      </c>
      <c r="I1125">
        <f>(Table1_1[[#This Row],[Total sales]]*Table1_1[[#This Row],[Commission]])+Table1_1[[#This Row],[Total sales]]</f>
        <v>593.6</v>
      </c>
    </row>
    <row r="1126" spans="1:9" x14ac:dyDescent="0.3">
      <c r="A1126" s="1">
        <v>43298</v>
      </c>
      <c r="B1126" t="s">
        <v>7</v>
      </c>
      <c r="C1126" t="s">
        <v>11</v>
      </c>
      <c r="D1126">
        <v>13</v>
      </c>
      <c r="E1126">
        <v>80</v>
      </c>
      <c r="F1126">
        <v>0.06</v>
      </c>
      <c r="G1126" t="s">
        <v>24</v>
      </c>
      <c r="H1126">
        <v>1040</v>
      </c>
      <c r="I1126">
        <f>(Table1_1[[#This Row],[Total sales]]*Table1_1[[#This Row],[Commission]])+Table1_1[[#This Row],[Total sales]]</f>
        <v>1102.4000000000001</v>
      </c>
    </row>
    <row r="1127" spans="1:9" x14ac:dyDescent="0.3">
      <c r="A1127" s="1">
        <v>43298</v>
      </c>
      <c r="B1127" t="s">
        <v>20</v>
      </c>
      <c r="C1127" t="s">
        <v>16</v>
      </c>
      <c r="D1127">
        <v>17</v>
      </c>
      <c r="E1127">
        <v>16</v>
      </c>
      <c r="F1127">
        <v>0.05</v>
      </c>
      <c r="G1127" t="s">
        <v>25</v>
      </c>
      <c r="H1127">
        <v>272</v>
      </c>
      <c r="I1127">
        <f>(Table1_1[[#This Row],[Total sales]]*Table1_1[[#This Row],[Commission]])+Table1_1[[#This Row],[Total sales]]</f>
        <v>285.60000000000002</v>
      </c>
    </row>
    <row r="1128" spans="1:9" x14ac:dyDescent="0.3">
      <c r="A1128" s="1">
        <v>43298</v>
      </c>
      <c r="B1128" t="s">
        <v>13</v>
      </c>
      <c r="C1128" t="s">
        <v>16</v>
      </c>
      <c r="D1128">
        <v>12</v>
      </c>
      <c r="E1128">
        <v>230</v>
      </c>
      <c r="F1128">
        <v>0.03</v>
      </c>
      <c r="G1128" t="s">
        <v>26</v>
      </c>
      <c r="H1128">
        <v>2760</v>
      </c>
      <c r="I1128">
        <f>(Table1_1[[#This Row],[Total sales]]*Table1_1[[#This Row],[Commission]])+Table1_1[[#This Row],[Total sales]]</f>
        <v>2842.8</v>
      </c>
    </row>
    <row r="1129" spans="1:9" x14ac:dyDescent="0.3">
      <c r="A1129" s="1">
        <v>43298</v>
      </c>
      <c r="B1129" t="s">
        <v>10</v>
      </c>
      <c r="C1129" t="s">
        <v>11</v>
      </c>
      <c r="D1129">
        <v>4</v>
      </c>
      <c r="E1129">
        <v>40</v>
      </c>
      <c r="F1129">
        <v>0.12</v>
      </c>
      <c r="G1129" t="s">
        <v>27</v>
      </c>
      <c r="H1129">
        <v>160</v>
      </c>
      <c r="I1129">
        <f>(Table1_1[[#This Row],[Total sales]]*Table1_1[[#This Row],[Commission]])+Table1_1[[#This Row],[Total sales]]</f>
        <v>179.2</v>
      </c>
    </row>
    <row r="1130" spans="1:9" x14ac:dyDescent="0.3">
      <c r="A1130" s="1">
        <v>43298</v>
      </c>
      <c r="B1130" t="s">
        <v>20</v>
      </c>
      <c r="C1130" t="s">
        <v>8</v>
      </c>
      <c r="D1130">
        <v>20</v>
      </c>
      <c r="E1130">
        <v>16</v>
      </c>
      <c r="F1130">
        <v>0.01</v>
      </c>
      <c r="G1130" t="s">
        <v>28</v>
      </c>
      <c r="H1130">
        <v>320</v>
      </c>
      <c r="I1130">
        <f>(Table1_1[[#This Row],[Total sales]]*Table1_1[[#This Row],[Commission]])+Table1_1[[#This Row],[Total sales]]</f>
        <v>323.2</v>
      </c>
    </row>
    <row r="1131" spans="1:9" x14ac:dyDescent="0.3">
      <c r="A1131" s="1">
        <v>43298</v>
      </c>
      <c r="B1131" t="s">
        <v>7</v>
      </c>
      <c r="C1131" t="s">
        <v>18</v>
      </c>
      <c r="D1131">
        <v>8</v>
      </c>
      <c r="E1131">
        <v>80</v>
      </c>
      <c r="F1131">
        <v>0.06</v>
      </c>
      <c r="G1131" t="s">
        <v>9</v>
      </c>
      <c r="H1131">
        <v>640</v>
      </c>
      <c r="I1131">
        <f>(Table1_1[[#This Row],[Total sales]]*Table1_1[[#This Row],[Commission]])+Table1_1[[#This Row],[Total sales]]</f>
        <v>678.4</v>
      </c>
    </row>
    <row r="1132" spans="1:9" x14ac:dyDescent="0.3">
      <c r="A1132" s="1">
        <v>43298</v>
      </c>
      <c r="B1132" t="s">
        <v>7</v>
      </c>
      <c r="C1132" t="s">
        <v>8</v>
      </c>
      <c r="D1132">
        <v>18</v>
      </c>
      <c r="E1132">
        <v>80</v>
      </c>
      <c r="F1132">
        <v>0.02</v>
      </c>
      <c r="G1132" t="s">
        <v>12</v>
      </c>
      <c r="H1132">
        <v>1440</v>
      </c>
      <c r="I1132">
        <f>(Table1_1[[#This Row],[Total sales]]*Table1_1[[#This Row],[Commission]])+Table1_1[[#This Row],[Total sales]]</f>
        <v>1468.8</v>
      </c>
    </row>
    <row r="1133" spans="1:9" x14ac:dyDescent="0.3">
      <c r="A1133" s="1">
        <v>43298</v>
      </c>
      <c r="B1133" t="s">
        <v>20</v>
      </c>
      <c r="C1133" t="s">
        <v>16</v>
      </c>
      <c r="D1133">
        <v>6</v>
      </c>
      <c r="E1133">
        <v>16</v>
      </c>
      <c r="F1133">
        <v>0.06</v>
      </c>
      <c r="G1133" t="s">
        <v>14</v>
      </c>
      <c r="H1133">
        <v>96</v>
      </c>
      <c r="I1133">
        <f>(Table1_1[[#This Row],[Total sales]]*Table1_1[[#This Row],[Commission]])+Table1_1[[#This Row],[Total sales]]</f>
        <v>101.76</v>
      </c>
    </row>
    <row r="1134" spans="1:9" x14ac:dyDescent="0.3">
      <c r="A1134" s="1">
        <v>43298</v>
      </c>
      <c r="B1134" t="s">
        <v>7</v>
      </c>
      <c r="C1134" t="s">
        <v>8</v>
      </c>
      <c r="D1134">
        <v>9</v>
      </c>
      <c r="E1134">
        <v>80</v>
      </c>
      <c r="F1134">
        <v>0.04</v>
      </c>
      <c r="G1134" t="s">
        <v>15</v>
      </c>
      <c r="H1134">
        <v>720</v>
      </c>
      <c r="I1134">
        <f>(Table1_1[[#This Row],[Total sales]]*Table1_1[[#This Row],[Commission]])+Table1_1[[#This Row],[Total sales]]</f>
        <v>748.8</v>
      </c>
    </row>
    <row r="1135" spans="1:9" x14ac:dyDescent="0.3">
      <c r="A1135" s="1">
        <v>43299</v>
      </c>
      <c r="B1135" t="s">
        <v>7</v>
      </c>
      <c r="C1135" t="s">
        <v>16</v>
      </c>
      <c r="D1135">
        <v>8</v>
      </c>
      <c r="E1135">
        <v>80</v>
      </c>
      <c r="F1135">
        <v>0.02</v>
      </c>
      <c r="G1135" t="s">
        <v>17</v>
      </c>
      <c r="H1135">
        <v>640</v>
      </c>
      <c r="I1135">
        <f>(Table1_1[[#This Row],[Total sales]]*Table1_1[[#This Row],[Commission]])+Table1_1[[#This Row],[Total sales]]</f>
        <v>652.79999999999995</v>
      </c>
    </row>
    <row r="1136" spans="1:9" x14ac:dyDescent="0.3">
      <c r="A1136" s="1">
        <v>43299</v>
      </c>
      <c r="B1136" t="s">
        <v>23</v>
      </c>
      <c r="C1136" t="s">
        <v>18</v>
      </c>
      <c r="D1136">
        <v>6</v>
      </c>
      <c r="E1136">
        <v>150</v>
      </c>
      <c r="F1136">
        <v>0.03</v>
      </c>
      <c r="G1136" t="s">
        <v>19</v>
      </c>
      <c r="H1136">
        <v>900</v>
      </c>
      <c r="I1136">
        <f>(Table1_1[[#This Row],[Total sales]]*Table1_1[[#This Row],[Commission]])+Table1_1[[#This Row],[Total sales]]</f>
        <v>927</v>
      </c>
    </row>
    <row r="1137" spans="1:9" x14ac:dyDescent="0.3">
      <c r="A1137" s="1">
        <v>43299</v>
      </c>
      <c r="B1137" t="s">
        <v>20</v>
      </c>
      <c r="C1137" t="s">
        <v>18</v>
      </c>
      <c r="D1137">
        <v>14</v>
      </c>
      <c r="E1137">
        <v>16</v>
      </c>
      <c r="F1137">
        <v>0.12</v>
      </c>
      <c r="G1137" t="s">
        <v>12</v>
      </c>
      <c r="H1137">
        <v>224</v>
      </c>
      <c r="I1137">
        <f>(Table1_1[[#This Row],[Total sales]]*Table1_1[[#This Row],[Commission]])+Table1_1[[#This Row],[Total sales]]</f>
        <v>250.88</v>
      </c>
    </row>
    <row r="1138" spans="1:9" x14ac:dyDescent="0.3">
      <c r="A1138" s="1">
        <v>43299</v>
      </c>
      <c r="B1138" t="s">
        <v>7</v>
      </c>
      <c r="C1138" t="s">
        <v>16</v>
      </c>
      <c r="D1138">
        <v>6</v>
      </c>
      <c r="E1138">
        <v>80</v>
      </c>
      <c r="F1138">
        <v>0.09</v>
      </c>
      <c r="G1138" t="s">
        <v>14</v>
      </c>
      <c r="H1138">
        <v>480</v>
      </c>
      <c r="I1138">
        <f>(Table1_1[[#This Row],[Total sales]]*Table1_1[[#This Row],[Commission]])+Table1_1[[#This Row],[Total sales]]</f>
        <v>523.20000000000005</v>
      </c>
    </row>
    <row r="1139" spans="1:9" x14ac:dyDescent="0.3">
      <c r="A1139" s="1">
        <v>43299</v>
      </c>
      <c r="B1139" t="s">
        <v>10</v>
      </c>
      <c r="C1139" t="s">
        <v>21</v>
      </c>
      <c r="D1139">
        <v>23</v>
      </c>
      <c r="E1139">
        <v>40</v>
      </c>
      <c r="F1139">
        <v>0.04</v>
      </c>
      <c r="G1139" t="s">
        <v>15</v>
      </c>
      <c r="H1139">
        <v>920</v>
      </c>
      <c r="I1139">
        <f>(Table1_1[[#This Row],[Total sales]]*Table1_1[[#This Row],[Commission]])+Table1_1[[#This Row],[Total sales]]</f>
        <v>956.8</v>
      </c>
    </row>
    <row r="1140" spans="1:9" x14ac:dyDescent="0.3">
      <c r="A1140" s="1">
        <v>43299</v>
      </c>
      <c r="B1140" t="s">
        <v>10</v>
      </c>
      <c r="C1140" t="s">
        <v>16</v>
      </c>
      <c r="D1140">
        <v>12</v>
      </c>
      <c r="E1140">
        <v>40</v>
      </c>
      <c r="F1140">
        <v>0.02</v>
      </c>
      <c r="G1140" t="s">
        <v>17</v>
      </c>
      <c r="H1140">
        <v>480</v>
      </c>
      <c r="I1140">
        <f>(Table1_1[[#This Row],[Total sales]]*Table1_1[[#This Row],[Commission]])+Table1_1[[#This Row],[Total sales]]</f>
        <v>489.6</v>
      </c>
    </row>
    <row r="1141" spans="1:9" x14ac:dyDescent="0.3">
      <c r="A1141" s="1">
        <v>43299</v>
      </c>
      <c r="B1141" t="s">
        <v>10</v>
      </c>
      <c r="C1141" t="s">
        <v>18</v>
      </c>
      <c r="D1141">
        <v>22</v>
      </c>
      <c r="E1141">
        <v>40</v>
      </c>
      <c r="F1141">
        <v>0.01</v>
      </c>
      <c r="G1141" t="s">
        <v>19</v>
      </c>
      <c r="H1141">
        <v>880</v>
      </c>
      <c r="I1141">
        <f>(Table1_1[[#This Row],[Total sales]]*Table1_1[[#This Row],[Commission]])+Table1_1[[#This Row],[Total sales]]</f>
        <v>888.8</v>
      </c>
    </row>
    <row r="1142" spans="1:9" x14ac:dyDescent="0.3">
      <c r="A1142" s="1">
        <v>43299</v>
      </c>
      <c r="B1142" t="s">
        <v>23</v>
      </c>
      <c r="C1142" t="s">
        <v>18</v>
      </c>
      <c r="D1142">
        <v>6</v>
      </c>
      <c r="E1142">
        <v>150</v>
      </c>
      <c r="F1142">
        <v>0.03</v>
      </c>
      <c r="G1142" t="s">
        <v>22</v>
      </c>
      <c r="H1142">
        <v>900</v>
      </c>
      <c r="I1142">
        <f>(Table1_1[[#This Row],[Total sales]]*Table1_1[[#This Row],[Commission]])+Table1_1[[#This Row],[Total sales]]</f>
        <v>927</v>
      </c>
    </row>
    <row r="1143" spans="1:9" x14ac:dyDescent="0.3">
      <c r="A1143" s="1">
        <v>43299</v>
      </c>
      <c r="B1143" t="s">
        <v>20</v>
      </c>
      <c r="C1143" t="s">
        <v>21</v>
      </c>
      <c r="D1143">
        <v>19</v>
      </c>
      <c r="E1143">
        <v>16</v>
      </c>
      <c r="F1143">
        <v>0.02</v>
      </c>
      <c r="G1143" t="s">
        <v>24</v>
      </c>
      <c r="H1143">
        <v>304</v>
      </c>
      <c r="I1143">
        <f>(Table1_1[[#This Row],[Total sales]]*Table1_1[[#This Row],[Commission]])+Table1_1[[#This Row],[Total sales]]</f>
        <v>310.08</v>
      </c>
    </row>
    <row r="1144" spans="1:9" x14ac:dyDescent="0.3">
      <c r="A1144" s="1">
        <v>43299</v>
      </c>
      <c r="B1144" t="s">
        <v>10</v>
      </c>
      <c r="C1144" t="s">
        <v>16</v>
      </c>
      <c r="D1144">
        <v>2</v>
      </c>
      <c r="E1144">
        <v>40</v>
      </c>
      <c r="F1144">
        <v>0.02</v>
      </c>
      <c r="G1144" t="s">
        <v>25</v>
      </c>
      <c r="H1144">
        <v>80</v>
      </c>
      <c r="I1144">
        <f>(Table1_1[[#This Row],[Total sales]]*Table1_1[[#This Row],[Commission]])+Table1_1[[#This Row],[Total sales]]</f>
        <v>81.599999999999994</v>
      </c>
    </row>
    <row r="1145" spans="1:9" x14ac:dyDescent="0.3">
      <c r="A1145" s="1">
        <v>43300</v>
      </c>
      <c r="B1145" t="s">
        <v>10</v>
      </c>
      <c r="C1145" t="s">
        <v>18</v>
      </c>
      <c r="D1145">
        <v>22</v>
      </c>
      <c r="E1145">
        <v>40</v>
      </c>
      <c r="F1145">
        <v>0.01</v>
      </c>
      <c r="G1145" t="s">
        <v>26</v>
      </c>
      <c r="H1145">
        <v>880</v>
      </c>
      <c r="I1145">
        <f>(Table1_1[[#This Row],[Total sales]]*Table1_1[[#This Row],[Commission]])+Table1_1[[#This Row],[Total sales]]</f>
        <v>888.8</v>
      </c>
    </row>
    <row r="1146" spans="1:9" x14ac:dyDescent="0.3">
      <c r="A1146" s="1">
        <v>43300</v>
      </c>
      <c r="B1146" t="s">
        <v>13</v>
      </c>
      <c r="C1146" t="s">
        <v>18</v>
      </c>
      <c r="D1146">
        <v>3</v>
      </c>
      <c r="E1146">
        <v>230</v>
      </c>
      <c r="F1146">
        <v>0.01</v>
      </c>
      <c r="G1146" t="s">
        <v>27</v>
      </c>
      <c r="H1146">
        <v>690</v>
      </c>
      <c r="I1146">
        <f>(Table1_1[[#This Row],[Total sales]]*Table1_1[[#This Row],[Commission]])+Table1_1[[#This Row],[Total sales]]</f>
        <v>696.9</v>
      </c>
    </row>
    <row r="1147" spans="1:9" x14ac:dyDescent="0.3">
      <c r="A1147" s="1">
        <v>43300</v>
      </c>
      <c r="B1147" t="s">
        <v>10</v>
      </c>
      <c r="C1147" t="s">
        <v>18</v>
      </c>
      <c r="D1147">
        <v>23</v>
      </c>
      <c r="E1147">
        <v>40</v>
      </c>
      <c r="F1147">
        <v>0.06</v>
      </c>
      <c r="G1147" t="s">
        <v>28</v>
      </c>
      <c r="H1147">
        <v>920</v>
      </c>
      <c r="I1147">
        <f>(Table1_1[[#This Row],[Total sales]]*Table1_1[[#This Row],[Commission]])+Table1_1[[#This Row],[Total sales]]</f>
        <v>975.2</v>
      </c>
    </row>
    <row r="1148" spans="1:9" x14ac:dyDescent="0.3">
      <c r="A1148" s="1">
        <v>43300</v>
      </c>
      <c r="B1148" t="s">
        <v>10</v>
      </c>
      <c r="C1148" t="s">
        <v>21</v>
      </c>
      <c r="D1148">
        <v>5</v>
      </c>
      <c r="E1148">
        <v>40</v>
      </c>
      <c r="F1148">
        <v>0.03</v>
      </c>
      <c r="G1148" t="s">
        <v>9</v>
      </c>
      <c r="H1148">
        <v>200</v>
      </c>
      <c r="I1148">
        <f>(Table1_1[[#This Row],[Total sales]]*Table1_1[[#This Row],[Commission]])+Table1_1[[#This Row],[Total sales]]</f>
        <v>206</v>
      </c>
    </row>
    <row r="1149" spans="1:9" x14ac:dyDescent="0.3">
      <c r="A1149" s="1">
        <v>43300</v>
      </c>
      <c r="B1149" t="s">
        <v>7</v>
      </c>
      <c r="C1149" t="s">
        <v>8</v>
      </c>
      <c r="D1149">
        <v>8</v>
      </c>
      <c r="E1149">
        <v>80</v>
      </c>
      <c r="F1149">
        <v>0.08</v>
      </c>
      <c r="G1149" t="s">
        <v>12</v>
      </c>
      <c r="H1149">
        <v>640</v>
      </c>
      <c r="I1149">
        <f>(Table1_1[[#This Row],[Total sales]]*Table1_1[[#This Row],[Commission]])+Table1_1[[#This Row],[Total sales]]</f>
        <v>691.2</v>
      </c>
    </row>
    <row r="1150" spans="1:9" x14ac:dyDescent="0.3">
      <c r="A1150" s="1">
        <v>43300</v>
      </c>
      <c r="B1150" t="s">
        <v>10</v>
      </c>
      <c r="C1150" t="s">
        <v>16</v>
      </c>
      <c r="D1150">
        <v>18</v>
      </c>
      <c r="E1150">
        <v>40</v>
      </c>
      <c r="F1150">
        <v>0.03</v>
      </c>
      <c r="G1150" t="s">
        <v>14</v>
      </c>
      <c r="H1150">
        <v>720</v>
      </c>
      <c r="I1150">
        <f>(Table1_1[[#This Row],[Total sales]]*Table1_1[[#This Row],[Commission]])+Table1_1[[#This Row],[Total sales]]</f>
        <v>741.6</v>
      </c>
    </row>
    <row r="1151" spans="1:9" x14ac:dyDescent="0.3">
      <c r="A1151" s="1">
        <v>43300</v>
      </c>
      <c r="B1151" t="s">
        <v>10</v>
      </c>
      <c r="C1151" t="s">
        <v>21</v>
      </c>
      <c r="D1151">
        <v>20</v>
      </c>
      <c r="E1151">
        <v>40</v>
      </c>
      <c r="F1151">
        <v>0.1</v>
      </c>
      <c r="G1151" t="s">
        <v>15</v>
      </c>
      <c r="H1151">
        <v>800</v>
      </c>
      <c r="I1151">
        <f>(Table1_1[[#This Row],[Total sales]]*Table1_1[[#This Row],[Commission]])+Table1_1[[#This Row],[Total sales]]</f>
        <v>880</v>
      </c>
    </row>
    <row r="1152" spans="1:9" x14ac:dyDescent="0.3">
      <c r="A1152" s="1">
        <v>43300</v>
      </c>
      <c r="B1152" t="s">
        <v>10</v>
      </c>
      <c r="C1152" t="s">
        <v>16</v>
      </c>
      <c r="D1152">
        <v>2</v>
      </c>
      <c r="E1152">
        <v>40</v>
      </c>
      <c r="F1152">
        <v>0.03</v>
      </c>
      <c r="G1152" t="s">
        <v>17</v>
      </c>
      <c r="H1152">
        <v>80</v>
      </c>
      <c r="I1152">
        <f>(Table1_1[[#This Row],[Total sales]]*Table1_1[[#This Row],[Commission]])+Table1_1[[#This Row],[Total sales]]</f>
        <v>82.4</v>
      </c>
    </row>
    <row r="1153" spans="1:9" x14ac:dyDescent="0.3">
      <c r="A1153" s="1">
        <v>43300</v>
      </c>
      <c r="B1153" t="s">
        <v>13</v>
      </c>
      <c r="C1153" t="s">
        <v>8</v>
      </c>
      <c r="D1153">
        <v>15</v>
      </c>
      <c r="E1153">
        <v>230</v>
      </c>
      <c r="F1153">
        <v>0.05</v>
      </c>
      <c r="G1153" t="s">
        <v>19</v>
      </c>
      <c r="H1153">
        <v>3450</v>
      </c>
      <c r="I1153">
        <f>(Table1_1[[#This Row],[Total sales]]*Table1_1[[#This Row],[Commission]])+Table1_1[[#This Row],[Total sales]]</f>
        <v>3622.5</v>
      </c>
    </row>
    <row r="1154" spans="1:9" x14ac:dyDescent="0.3">
      <c r="A1154" s="1">
        <v>43300</v>
      </c>
      <c r="B1154" t="s">
        <v>23</v>
      </c>
      <c r="C1154" t="s">
        <v>18</v>
      </c>
      <c r="D1154">
        <v>15</v>
      </c>
      <c r="E1154">
        <v>150</v>
      </c>
      <c r="F1154">
        <v>0.08</v>
      </c>
      <c r="G1154" t="s">
        <v>12</v>
      </c>
      <c r="H1154">
        <v>2250</v>
      </c>
      <c r="I1154">
        <f>(Table1_1[[#This Row],[Total sales]]*Table1_1[[#This Row],[Commission]])+Table1_1[[#This Row],[Total sales]]</f>
        <v>2430</v>
      </c>
    </row>
    <row r="1155" spans="1:9" x14ac:dyDescent="0.3">
      <c r="A1155" s="1">
        <v>43300</v>
      </c>
      <c r="B1155" t="s">
        <v>23</v>
      </c>
      <c r="C1155" t="s">
        <v>18</v>
      </c>
      <c r="D1155">
        <v>22</v>
      </c>
      <c r="E1155">
        <v>150</v>
      </c>
      <c r="F1155">
        <v>0.05</v>
      </c>
      <c r="G1155" t="s">
        <v>14</v>
      </c>
      <c r="H1155">
        <v>3300</v>
      </c>
      <c r="I1155">
        <f>(Table1_1[[#This Row],[Total sales]]*Table1_1[[#This Row],[Commission]])+Table1_1[[#This Row],[Total sales]]</f>
        <v>3465</v>
      </c>
    </row>
    <row r="1156" spans="1:9" x14ac:dyDescent="0.3">
      <c r="A1156" s="1">
        <v>43300</v>
      </c>
      <c r="B1156" t="s">
        <v>13</v>
      </c>
      <c r="C1156" t="s">
        <v>11</v>
      </c>
      <c r="D1156">
        <v>19</v>
      </c>
      <c r="E1156">
        <v>230</v>
      </c>
      <c r="F1156">
        <v>0.11</v>
      </c>
      <c r="G1156" t="s">
        <v>15</v>
      </c>
      <c r="H1156">
        <v>4370</v>
      </c>
      <c r="I1156">
        <f>(Table1_1[[#This Row],[Total sales]]*Table1_1[[#This Row],[Commission]])+Table1_1[[#This Row],[Total sales]]</f>
        <v>4850.7</v>
      </c>
    </row>
    <row r="1157" spans="1:9" x14ac:dyDescent="0.3">
      <c r="A1157" s="1">
        <v>43300</v>
      </c>
      <c r="B1157" t="s">
        <v>7</v>
      </c>
      <c r="C1157" t="s">
        <v>11</v>
      </c>
      <c r="D1157">
        <v>10</v>
      </c>
      <c r="E1157">
        <v>80</v>
      </c>
      <c r="F1157">
        <v>0.11</v>
      </c>
      <c r="G1157" t="s">
        <v>17</v>
      </c>
      <c r="H1157">
        <v>800</v>
      </c>
      <c r="I1157">
        <f>(Table1_1[[#This Row],[Total sales]]*Table1_1[[#This Row],[Commission]])+Table1_1[[#This Row],[Total sales]]</f>
        <v>888</v>
      </c>
    </row>
    <row r="1158" spans="1:9" x14ac:dyDescent="0.3">
      <c r="A1158" s="1">
        <v>43300</v>
      </c>
      <c r="B1158" t="s">
        <v>10</v>
      </c>
      <c r="C1158" t="s">
        <v>18</v>
      </c>
      <c r="D1158">
        <v>18</v>
      </c>
      <c r="E1158">
        <v>40</v>
      </c>
      <c r="F1158">
        <v>0.06</v>
      </c>
      <c r="G1158" t="s">
        <v>19</v>
      </c>
      <c r="H1158">
        <v>720</v>
      </c>
      <c r="I1158">
        <f>(Table1_1[[#This Row],[Total sales]]*Table1_1[[#This Row],[Commission]])+Table1_1[[#This Row],[Total sales]]</f>
        <v>763.2</v>
      </c>
    </row>
    <row r="1159" spans="1:9" x14ac:dyDescent="0.3">
      <c r="A1159" s="1">
        <v>43300</v>
      </c>
      <c r="B1159" t="s">
        <v>7</v>
      </c>
      <c r="C1159" t="s">
        <v>18</v>
      </c>
      <c r="D1159">
        <v>16</v>
      </c>
      <c r="E1159">
        <v>80</v>
      </c>
      <c r="F1159">
        <v>0.05</v>
      </c>
      <c r="G1159" t="s">
        <v>22</v>
      </c>
      <c r="H1159">
        <v>1280</v>
      </c>
      <c r="I1159">
        <f>(Table1_1[[#This Row],[Total sales]]*Table1_1[[#This Row],[Commission]])+Table1_1[[#This Row],[Total sales]]</f>
        <v>1344</v>
      </c>
    </row>
    <row r="1160" spans="1:9" x14ac:dyDescent="0.3">
      <c r="A1160" s="1">
        <v>43300</v>
      </c>
      <c r="B1160" t="s">
        <v>23</v>
      </c>
      <c r="C1160" t="s">
        <v>21</v>
      </c>
      <c r="D1160">
        <v>17</v>
      </c>
      <c r="E1160">
        <v>150</v>
      </c>
      <c r="F1160">
        <v>0.02</v>
      </c>
      <c r="G1160" t="s">
        <v>24</v>
      </c>
      <c r="H1160">
        <v>2550</v>
      </c>
      <c r="I1160">
        <f>(Table1_1[[#This Row],[Total sales]]*Table1_1[[#This Row],[Commission]])+Table1_1[[#This Row],[Total sales]]</f>
        <v>2601</v>
      </c>
    </row>
    <row r="1161" spans="1:9" x14ac:dyDescent="0.3">
      <c r="A1161" s="1">
        <v>43301</v>
      </c>
      <c r="B1161" t="s">
        <v>13</v>
      </c>
      <c r="C1161" t="s">
        <v>8</v>
      </c>
      <c r="D1161">
        <v>8</v>
      </c>
      <c r="E1161">
        <v>230</v>
      </c>
      <c r="F1161">
        <v>0.03</v>
      </c>
      <c r="G1161" t="s">
        <v>25</v>
      </c>
      <c r="H1161">
        <v>1840</v>
      </c>
      <c r="I1161">
        <f>(Table1_1[[#This Row],[Total sales]]*Table1_1[[#This Row],[Commission]])+Table1_1[[#This Row],[Total sales]]</f>
        <v>1895.2</v>
      </c>
    </row>
    <row r="1162" spans="1:9" x14ac:dyDescent="0.3">
      <c r="A1162" s="1">
        <v>43301</v>
      </c>
      <c r="B1162" t="s">
        <v>7</v>
      </c>
      <c r="C1162" t="s">
        <v>18</v>
      </c>
      <c r="D1162">
        <v>11</v>
      </c>
      <c r="E1162">
        <v>80</v>
      </c>
      <c r="F1162">
        <v>0.01</v>
      </c>
      <c r="G1162" t="s">
        <v>26</v>
      </c>
      <c r="H1162">
        <v>880</v>
      </c>
      <c r="I1162">
        <f>(Table1_1[[#This Row],[Total sales]]*Table1_1[[#This Row],[Commission]])+Table1_1[[#This Row],[Total sales]]</f>
        <v>888.8</v>
      </c>
    </row>
    <row r="1163" spans="1:9" x14ac:dyDescent="0.3">
      <c r="A1163" s="1">
        <v>43301</v>
      </c>
      <c r="B1163" t="s">
        <v>10</v>
      </c>
      <c r="C1163" t="s">
        <v>8</v>
      </c>
      <c r="D1163">
        <v>5</v>
      </c>
      <c r="E1163">
        <v>40</v>
      </c>
      <c r="F1163">
        <v>0.06</v>
      </c>
      <c r="G1163" t="s">
        <v>27</v>
      </c>
      <c r="H1163">
        <v>200</v>
      </c>
      <c r="I1163">
        <f>(Table1_1[[#This Row],[Total sales]]*Table1_1[[#This Row],[Commission]])+Table1_1[[#This Row],[Total sales]]</f>
        <v>212</v>
      </c>
    </row>
    <row r="1164" spans="1:9" x14ac:dyDescent="0.3">
      <c r="A1164" s="1">
        <v>43301</v>
      </c>
      <c r="B1164" t="s">
        <v>10</v>
      </c>
      <c r="C1164" t="s">
        <v>21</v>
      </c>
      <c r="D1164">
        <v>11</v>
      </c>
      <c r="E1164">
        <v>40</v>
      </c>
      <c r="F1164">
        <v>0.05</v>
      </c>
      <c r="G1164" t="s">
        <v>28</v>
      </c>
      <c r="H1164">
        <v>440</v>
      </c>
      <c r="I1164">
        <f>(Table1_1[[#This Row],[Total sales]]*Table1_1[[#This Row],[Commission]])+Table1_1[[#This Row],[Total sales]]</f>
        <v>462</v>
      </c>
    </row>
    <row r="1165" spans="1:9" x14ac:dyDescent="0.3">
      <c r="A1165" s="1">
        <v>43301</v>
      </c>
      <c r="B1165" t="s">
        <v>23</v>
      </c>
      <c r="C1165" t="s">
        <v>18</v>
      </c>
      <c r="D1165">
        <v>20</v>
      </c>
      <c r="E1165">
        <v>150</v>
      </c>
      <c r="F1165">
        <v>0.1</v>
      </c>
      <c r="G1165" t="s">
        <v>9</v>
      </c>
      <c r="H1165">
        <v>3000</v>
      </c>
      <c r="I1165">
        <f>(Table1_1[[#This Row],[Total sales]]*Table1_1[[#This Row],[Commission]])+Table1_1[[#This Row],[Total sales]]</f>
        <v>3300</v>
      </c>
    </row>
    <row r="1166" spans="1:9" x14ac:dyDescent="0.3">
      <c r="A1166" s="1">
        <v>43301</v>
      </c>
      <c r="B1166" t="s">
        <v>23</v>
      </c>
      <c r="C1166" t="s">
        <v>16</v>
      </c>
      <c r="D1166">
        <v>11</v>
      </c>
      <c r="E1166">
        <v>150</v>
      </c>
      <c r="F1166">
        <v>0.11</v>
      </c>
      <c r="G1166" t="s">
        <v>12</v>
      </c>
      <c r="H1166">
        <v>1650</v>
      </c>
      <c r="I1166">
        <f>(Table1_1[[#This Row],[Total sales]]*Table1_1[[#This Row],[Commission]])+Table1_1[[#This Row],[Total sales]]</f>
        <v>1831.5</v>
      </c>
    </row>
    <row r="1167" spans="1:9" x14ac:dyDescent="0.3">
      <c r="A1167" s="1">
        <v>43301</v>
      </c>
      <c r="B1167" t="s">
        <v>7</v>
      </c>
      <c r="C1167" t="s">
        <v>18</v>
      </c>
      <c r="D1167">
        <v>2</v>
      </c>
      <c r="E1167">
        <v>80</v>
      </c>
      <c r="F1167">
        <v>0.08</v>
      </c>
      <c r="G1167" t="s">
        <v>14</v>
      </c>
      <c r="H1167">
        <v>160</v>
      </c>
      <c r="I1167">
        <f>(Table1_1[[#This Row],[Total sales]]*Table1_1[[#This Row],[Commission]])+Table1_1[[#This Row],[Total sales]]</f>
        <v>172.8</v>
      </c>
    </row>
    <row r="1168" spans="1:9" x14ac:dyDescent="0.3">
      <c r="A1168" s="1">
        <v>43301</v>
      </c>
      <c r="B1168" t="s">
        <v>23</v>
      </c>
      <c r="C1168" t="s">
        <v>11</v>
      </c>
      <c r="D1168">
        <v>16</v>
      </c>
      <c r="E1168">
        <v>150</v>
      </c>
      <c r="F1168">
        <v>0.08</v>
      </c>
      <c r="G1168" t="s">
        <v>15</v>
      </c>
      <c r="H1168">
        <v>2400</v>
      </c>
      <c r="I1168">
        <f>(Table1_1[[#This Row],[Total sales]]*Table1_1[[#This Row],[Commission]])+Table1_1[[#This Row],[Total sales]]</f>
        <v>2592</v>
      </c>
    </row>
    <row r="1169" spans="1:9" x14ac:dyDescent="0.3">
      <c r="A1169" s="1">
        <v>43301</v>
      </c>
      <c r="B1169" t="s">
        <v>20</v>
      </c>
      <c r="C1169" t="s">
        <v>8</v>
      </c>
      <c r="D1169">
        <v>20</v>
      </c>
      <c r="E1169">
        <v>16</v>
      </c>
      <c r="F1169">
        <v>0.11</v>
      </c>
      <c r="G1169" t="s">
        <v>17</v>
      </c>
      <c r="H1169">
        <v>320</v>
      </c>
      <c r="I1169">
        <f>(Table1_1[[#This Row],[Total sales]]*Table1_1[[#This Row],[Commission]])+Table1_1[[#This Row],[Total sales]]</f>
        <v>355.2</v>
      </c>
    </row>
    <row r="1170" spans="1:9" x14ac:dyDescent="0.3">
      <c r="A1170" s="1">
        <v>43301</v>
      </c>
      <c r="B1170" t="s">
        <v>13</v>
      </c>
      <c r="C1170" t="s">
        <v>16</v>
      </c>
      <c r="D1170">
        <v>2</v>
      </c>
      <c r="E1170">
        <v>230</v>
      </c>
      <c r="F1170">
        <v>0.09</v>
      </c>
      <c r="G1170" t="s">
        <v>19</v>
      </c>
      <c r="H1170">
        <v>460</v>
      </c>
      <c r="I1170">
        <f>(Table1_1[[#This Row],[Total sales]]*Table1_1[[#This Row],[Commission]])+Table1_1[[#This Row],[Total sales]]</f>
        <v>501.4</v>
      </c>
    </row>
    <row r="1171" spans="1:9" x14ac:dyDescent="0.3">
      <c r="A1171" s="1">
        <v>43301</v>
      </c>
      <c r="B1171" t="s">
        <v>23</v>
      </c>
      <c r="C1171" t="s">
        <v>8</v>
      </c>
      <c r="D1171">
        <v>20</v>
      </c>
      <c r="E1171">
        <v>150</v>
      </c>
      <c r="F1171">
        <v>0.04</v>
      </c>
      <c r="G1171" t="s">
        <v>12</v>
      </c>
      <c r="H1171">
        <v>3000</v>
      </c>
      <c r="I1171">
        <f>(Table1_1[[#This Row],[Total sales]]*Table1_1[[#This Row],[Commission]])+Table1_1[[#This Row],[Total sales]]</f>
        <v>3120</v>
      </c>
    </row>
    <row r="1172" spans="1:9" x14ac:dyDescent="0.3">
      <c r="A1172" s="1">
        <v>43301</v>
      </c>
      <c r="B1172" t="s">
        <v>23</v>
      </c>
      <c r="C1172" t="s">
        <v>8</v>
      </c>
      <c r="D1172">
        <v>22</v>
      </c>
      <c r="E1172">
        <v>150</v>
      </c>
      <c r="F1172">
        <v>7.0000000000000007E-2</v>
      </c>
      <c r="G1172" t="s">
        <v>14</v>
      </c>
      <c r="H1172">
        <v>3300</v>
      </c>
      <c r="I1172">
        <f>(Table1_1[[#This Row],[Total sales]]*Table1_1[[#This Row],[Commission]])+Table1_1[[#This Row],[Total sales]]</f>
        <v>3531</v>
      </c>
    </row>
    <row r="1173" spans="1:9" x14ac:dyDescent="0.3">
      <c r="A1173" s="1">
        <v>43301</v>
      </c>
      <c r="B1173" t="s">
        <v>23</v>
      </c>
      <c r="C1173" t="s">
        <v>16</v>
      </c>
      <c r="D1173">
        <v>22</v>
      </c>
      <c r="E1173">
        <v>150</v>
      </c>
      <c r="F1173">
        <v>0.04</v>
      </c>
      <c r="G1173" t="s">
        <v>15</v>
      </c>
      <c r="H1173">
        <v>3300</v>
      </c>
      <c r="I1173">
        <f>(Table1_1[[#This Row],[Total sales]]*Table1_1[[#This Row],[Commission]])+Table1_1[[#This Row],[Total sales]]</f>
        <v>3432</v>
      </c>
    </row>
    <row r="1174" spans="1:9" x14ac:dyDescent="0.3">
      <c r="A1174" s="1">
        <v>43301</v>
      </c>
      <c r="B1174" t="s">
        <v>10</v>
      </c>
      <c r="C1174" t="s">
        <v>8</v>
      </c>
      <c r="D1174">
        <v>23</v>
      </c>
      <c r="E1174">
        <v>40</v>
      </c>
      <c r="F1174">
        <v>7.0000000000000007E-2</v>
      </c>
      <c r="G1174" t="s">
        <v>17</v>
      </c>
      <c r="H1174">
        <v>920</v>
      </c>
      <c r="I1174">
        <f>(Table1_1[[#This Row],[Total sales]]*Table1_1[[#This Row],[Commission]])+Table1_1[[#This Row],[Total sales]]</f>
        <v>984.4</v>
      </c>
    </row>
    <row r="1175" spans="1:9" x14ac:dyDescent="0.3">
      <c r="A1175" s="1">
        <v>43302</v>
      </c>
      <c r="B1175" t="s">
        <v>20</v>
      </c>
      <c r="C1175" t="s">
        <v>16</v>
      </c>
      <c r="D1175">
        <v>11</v>
      </c>
      <c r="E1175">
        <v>16</v>
      </c>
      <c r="F1175">
        <v>0.04</v>
      </c>
      <c r="G1175" t="s">
        <v>19</v>
      </c>
      <c r="H1175">
        <v>176</v>
      </c>
      <c r="I1175">
        <f>(Table1_1[[#This Row],[Total sales]]*Table1_1[[#This Row],[Commission]])+Table1_1[[#This Row],[Total sales]]</f>
        <v>183.04</v>
      </c>
    </row>
    <row r="1176" spans="1:9" x14ac:dyDescent="0.3">
      <c r="A1176" s="1">
        <v>43302</v>
      </c>
      <c r="B1176" t="s">
        <v>13</v>
      </c>
      <c r="C1176" t="s">
        <v>11</v>
      </c>
      <c r="D1176">
        <v>11</v>
      </c>
      <c r="E1176">
        <v>230</v>
      </c>
      <c r="F1176">
        <v>0.1</v>
      </c>
      <c r="G1176" t="s">
        <v>22</v>
      </c>
      <c r="H1176">
        <v>2530</v>
      </c>
      <c r="I1176">
        <f>(Table1_1[[#This Row],[Total sales]]*Table1_1[[#This Row],[Commission]])+Table1_1[[#This Row],[Total sales]]</f>
        <v>2783</v>
      </c>
    </row>
    <row r="1177" spans="1:9" x14ac:dyDescent="0.3">
      <c r="A1177" s="1">
        <v>43302</v>
      </c>
      <c r="B1177" t="s">
        <v>13</v>
      </c>
      <c r="C1177" t="s">
        <v>8</v>
      </c>
      <c r="D1177">
        <v>7</v>
      </c>
      <c r="E1177">
        <v>230</v>
      </c>
      <c r="F1177">
        <v>0.08</v>
      </c>
      <c r="G1177" t="s">
        <v>24</v>
      </c>
      <c r="H1177">
        <v>1610</v>
      </c>
      <c r="I1177">
        <f>(Table1_1[[#This Row],[Total sales]]*Table1_1[[#This Row],[Commission]])+Table1_1[[#This Row],[Total sales]]</f>
        <v>1738.8</v>
      </c>
    </row>
    <row r="1178" spans="1:9" x14ac:dyDescent="0.3">
      <c r="A1178" s="1">
        <v>43302</v>
      </c>
      <c r="B1178" t="s">
        <v>23</v>
      </c>
      <c r="C1178" t="s">
        <v>11</v>
      </c>
      <c r="D1178">
        <v>13</v>
      </c>
      <c r="E1178">
        <v>150</v>
      </c>
      <c r="F1178">
        <v>0.08</v>
      </c>
      <c r="G1178" t="s">
        <v>25</v>
      </c>
      <c r="H1178">
        <v>1950</v>
      </c>
      <c r="I1178">
        <f>(Table1_1[[#This Row],[Total sales]]*Table1_1[[#This Row],[Commission]])+Table1_1[[#This Row],[Total sales]]</f>
        <v>2106</v>
      </c>
    </row>
    <row r="1179" spans="1:9" x14ac:dyDescent="0.3">
      <c r="A1179" s="1">
        <v>43302</v>
      </c>
      <c r="B1179" t="s">
        <v>13</v>
      </c>
      <c r="C1179" t="s">
        <v>18</v>
      </c>
      <c r="D1179">
        <v>16</v>
      </c>
      <c r="E1179">
        <v>230</v>
      </c>
      <c r="F1179">
        <v>0.11</v>
      </c>
      <c r="G1179" t="s">
        <v>26</v>
      </c>
      <c r="H1179">
        <v>3680</v>
      </c>
      <c r="I1179">
        <f>(Table1_1[[#This Row],[Total sales]]*Table1_1[[#This Row],[Commission]])+Table1_1[[#This Row],[Total sales]]</f>
        <v>4084.8</v>
      </c>
    </row>
    <row r="1180" spans="1:9" x14ac:dyDescent="0.3">
      <c r="A1180" s="1">
        <v>43302</v>
      </c>
      <c r="B1180" t="s">
        <v>13</v>
      </c>
      <c r="C1180" t="s">
        <v>21</v>
      </c>
      <c r="D1180">
        <v>20</v>
      </c>
      <c r="E1180">
        <v>230</v>
      </c>
      <c r="F1180">
        <v>0.09</v>
      </c>
      <c r="G1180" t="s">
        <v>27</v>
      </c>
      <c r="H1180">
        <v>4600</v>
      </c>
      <c r="I1180">
        <f>(Table1_1[[#This Row],[Total sales]]*Table1_1[[#This Row],[Commission]])+Table1_1[[#This Row],[Total sales]]</f>
        <v>5014</v>
      </c>
    </row>
    <row r="1181" spans="1:9" x14ac:dyDescent="0.3">
      <c r="A1181" s="1">
        <v>43302</v>
      </c>
      <c r="B1181" t="s">
        <v>10</v>
      </c>
      <c r="C1181" t="s">
        <v>16</v>
      </c>
      <c r="D1181">
        <v>20</v>
      </c>
      <c r="E1181">
        <v>40</v>
      </c>
      <c r="F1181">
        <v>0.01</v>
      </c>
      <c r="G1181" t="s">
        <v>28</v>
      </c>
      <c r="H1181">
        <v>800</v>
      </c>
      <c r="I1181">
        <f>(Table1_1[[#This Row],[Total sales]]*Table1_1[[#This Row],[Commission]])+Table1_1[[#This Row],[Total sales]]</f>
        <v>808</v>
      </c>
    </row>
    <row r="1182" spans="1:9" x14ac:dyDescent="0.3">
      <c r="A1182" s="1">
        <v>43302</v>
      </c>
      <c r="B1182" t="s">
        <v>7</v>
      </c>
      <c r="C1182" t="s">
        <v>8</v>
      </c>
      <c r="D1182">
        <v>20</v>
      </c>
      <c r="E1182">
        <v>80</v>
      </c>
      <c r="F1182">
        <v>0.01</v>
      </c>
      <c r="G1182" t="s">
        <v>9</v>
      </c>
      <c r="H1182">
        <v>1600</v>
      </c>
      <c r="I1182">
        <f>(Table1_1[[#This Row],[Total sales]]*Table1_1[[#This Row],[Commission]])+Table1_1[[#This Row],[Total sales]]</f>
        <v>1616</v>
      </c>
    </row>
    <row r="1183" spans="1:9" x14ac:dyDescent="0.3">
      <c r="A1183" s="1">
        <v>43302</v>
      </c>
      <c r="B1183" t="s">
        <v>23</v>
      </c>
      <c r="C1183" t="s">
        <v>8</v>
      </c>
      <c r="D1183">
        <v>5</v>
      </c>
      <c r="E1183">
        <v>150</v>
      </c>
      <c r="F1183">
        <v>0.11</v>
      </c>
      <c r="G1183" t="s">
        <v>12</v>
      </c>
      <c r="H1183">
        <v>750</v>
      </c>
      <c r="I1183">
        <f>(Table1_1[[#This Row],[Total sales]]*Table1_1[[#This Row],[Commission]])+Table1_1[[#This Row],[Total sales]]</f>
        <v>832.5</v>
      </c>
    </row>
    <row r="1184" spans="1:9" x14ac:dyDescent="0.3">
      <c r="A1184" s="1">
        <v>43303</v>
      </c>
      <c r="B1184" t="s">
        <v>10</v>
      </c>
      <c r="C1184" t="s">
        <v>16</v>
      </c>
      <c r="D1184">
        <v>4</v>
      </c>
      <c r="E1184">
        <v>40</v>
      </c>
      <c r="F1184">
        <v>0.11</v>
      </c>
      <c r="G1184" t="s">
        <v>14</v>
      </c>
      <c r="H1184">
        <v>160</v>
      </c>
      <c r="I1184">
        <f>(Table1_1[[#This Row],[Total sales]]*Table1_1[[#This Row],[Commission]])+Table1_1[[#This Row],[Total sales]]</f>
        <v>177.6</v>
      </c>
    </row>
    <row r="1185" spans="1:9" x14ac:dyDescent="0.3">
      <c r="A1185" s="1">
        <v>43303</v>
      </c>
      <c r="B1185" t="s">
        <v>20</v>
      </c>
      <c r="C1185" t="s">
        <v>8</v>
      </c>
      <c r="D1185">
        <v>7</v>
      </c>
      <c r="E1185">
        <v>16</v>
      </c>
      <c r="F1185">
        <v>0.12</v>
      </c>
      <c r="G1185" t="s">
        <v>15</v>
      </c>
      <c r="H1185">
        <v>112</v>
      </c>
      <c r="I1185">
        <f>(Table1_1[[#This Row],[Total sales]]*Table1_1[[#This Row],[Commission]])+Table1_1[[#This Row],[Total sales]]</f>
        <v>125.44</v>
      </c>
    </row>
    <row r="1186" spans="1:9" x14ac:dyDescent="0.3">
      <c r="A1186" s="1">
        <v>43303</v>
      </c>
      <c r="B1186" t="s">
        <v>20</v>
      </c>
      <c r="C1186" t="s">
        <v>11</v>
      </c>
      <c r="D1186">
        <v>22</v>
      </c>
      <c r="E1186">
        <v>16</v>
      </c>
      <c r="F1186">
        <v>0.01</v>
      </c>
      <c r="G1186" t="s">
        <v>17</v>
      </c>
      <c r="H1186">
        <v>352</v>
      </c>
      <c r="I1186">
        <f>(Table1_1[[#This Row],[Total sales]]*Table1_1[[#This Row],[Commission]])+Table1_1[[#This Row],[Total sales]]</f>
        <v>355.52</v>
      </c>
    </row>
    <row r="1187" spans="1:9" x14ac:dyDescent="0.3">
      <c r="A1187" s="1">
        <v>43303</v>
      </c>
      <c r="B1187" t="s">
        <v>10</v>
      </c>
      <c r="C1187" t="s">
        <v>18</v>
      </c>
      <c r="D1187">
        <v>15</v>
      </c>
      <c r="E1187">
        <v>40</v>
      </c>
      <c r="F1187">
        <v>0.03</v>
      </c>
      <c r="G1187" t="s">
        <v>19</v>
      </c>
      <c r="H1187">
        <v>600</v>
      </c>
      <c r="I1187">
        <f>(Table1_1[[#This Row],[Total sales]]*Table1_1[[#This Row],[Commission]])+Table1_1[[#This Row],[Total sales]]</f>
        <v>618</v>
      </c>
    </row>
    <row r="1188" spans="1:9" x14ac:dyDescent="0.3">
      <c r="A1188" s="1">
        <v>43303</v>
      </c>
      <c r="B1188" t="s">
        <v>7</v>
      </c>
      <c r="C1188" t="s">
        <v>11</v>
      </c>
      <c r="D1188">
        <v>14</v>
      </c>
      <c r="E1188">
        <v>80</v>
      </c>
      <c r="F1188">
        <v>0.11</v>
      </c>
      <c r="G1188" t="s">
        <v>12</v>
      </c>
      <c r="H1188">
        <v>1120</v>
      </c>
      <c r="I1188">
        <f>(Table1_1[[#This Row],[Total sales]]*Table1_1[[#This Row],[Commission]])+Table1_1[[#This Row],[Total sales]]</f>
        <v>1243.2</v>
      </c>
    </row>
    <row r="1189" spans="1:9" x14ac:dyDescent="0.3">
      <c r="A1189" s="1">
        <v>43303</v>
      </c>
      <c r="B1189" t="s">
        <v>20</v>
      </c>
      <c r="C1189" t="s">
        <v>11</v>
      </c>
      <c r="D1189">
        <v>15</v>
      </c>
      <c r="E1189">
        <v>16</v>
      </c>
      <c r="F1189">
        <v>0.02</v>
      </c>
      <c r="G1189" t="s">
        <v>14</v>
      </c>
      <c r="H1189">
        <v>240</v>
      </c>
      <c r="I1189">
        <f>(Table1_1[[#This Row],[Total sales]]*Table1_1[[#This Row],[Commission]])+Table1_1[[#This Row],[Total sales]]</f>
        <v>244.8</v>
      </c>
    </row>
    <row r="1190" spans="1:9" x14ac:dyDescent="0.3">
      <c r="A1190" s="1">
        <v>43304</v>
      </c>
      <c r="B1190" t="s">
        <v>7</v>
      </c>
      <c r="C1190" t="s">
        <v>18</v>
      </c>
      <c r="D1190">
        <v>19</v>
      </c>
      <c r="E1190">
        <v>80</v>
      </c>
      <c r="F1190">
        <v>0.02</v>
      </c>
      <c r="G1190" t="s">
        <v>15</v>
      </c>
      <c r="H1190">
        <v>1520</v>
      </c>
      <c r="I1190">
        <f>(Table1_1[[#This Row],[Total sales]]*Table1_1[[#This Row],[Commission]])+Table1_1[[#This Row],[Total sales]]</f>
        <v>1550.4</v>
      </c>
    </row>
    <row r="1191" spans="1:9" x14ac:dyDescent="0.3">
      <c r="A1191" s="1">
        <v>43304</v>
      </c>
      <c r="B1191" t="s">
        <v>10</v>
      </c>
      <c r="C1191" t="s">
        <v>21</v>
      </c>
      <c r="D1191">
        <v>20</v>
      </c>
      <c r="E1191">
        <v>40</v>
      </c>
      <c r="F1191">
        <v>0.05</v>
      </c>
      <c r="G1191" t="s">
        <v>17</v>
      </c>
      <c r="H1191">
        <v>800</v>
      </c>
      <c r="I1191">
        <f>(Table1_1[[#This Row],[Total sales]]*Table1_1[[#This Row],[Commission]])+Table1_1[[#This Row],[Total sales]]</f>
        <v>840</v>
      </c>
    </row>
    <row r="1192" spans="1:9" x14ac:dyDescent="0.3">
      <c r="A1192" s="1">
        <v>43304</v>
      </c>
      <c r="B1192" t="s">
        <v>10</v>
      </c>
      <c r="C1192" t="s">
        <v>18</v>
      </c>
      <c r="D1192">
        <v>11</v>
      </c>
      <c r="E1192">
        <v>40</v>
      </c>
      <c r="F1192">
        <v>0.06</v>
      </c>
      <c r="G1192" t="s">
        <v>19</v>
      </c>
      <c r="H1192">
        <v>440</v>
      </c>
      <c r="I1192">
        <f>(Table1_1[[#This Row],[Total sales]]*Table1_1[[#This Row],[Commission]])+Table1_1[[#This Row],[Total sales]]</f>
        <v>466.4</v>
      </c>
    </row>
    <row r="1193" spans="1:9" x14ac:dyDescent="0.3">
      <c r="A1193" s="1">
        <v>43304</v>
      </c>
      <c r="B1193" t="s">
        <v>23</v>
      </c>
      <c r="C1193" t="s">
        <v>16</v>
      </c>
      <c r="D1193">
        <v>11</v>
      </c>
      <c r="E1193">
        <v>150</v>
      </c>
      <c r="F1193">
        <v>0.05</v>
      </c>
      <c r="G1193" t="s">
        <v>22</v>
      </c>
      <c r="H1193">
        <v>1650</v>
      </c>
      <c r="I1193">
        <f>(Table1_1[[#This Row],[Total sales]]*Table1_1[[#This Row],[Commission]])+Table1_1[[#This Row],[Total sales]]</f>
        <v>1732.5</v>
      </c>
    </row>
    <row r="1194" spans="1:9" x14ac:dyDescent="0.3">
      <c r="A1194" s="1">
        <v>43304</v>
      </c>
      <c r="B1194" t="s">
        <v>7</v>
      </c>
      <c r="C1194" t="s">
        <v>18</v>
      </c>
      <c r="D1194">
        <v>23</v>
      </c>
      <c r="E1194">
        <v>80</v>
      </c>
      <c r="F1194">
        <v>0.11</v>
      </c>
      <c r="G1194" t="s">
        <v>24</v>
      </c>
      <c r="H1194">
        <v>1840</v>
      </c>
      <c r="I1194">
        <f>(Table1_1[[#This Row],[Total sales]]*Table1_1[[#This Row],[Commission]])+Table1_1[[#This Row],[Total sales]]</f>
        <v>2042.4</v>
      </c>
    </row>
    <row r="1195" spans="1:9" x14ac:dyDescent="0.3">
      <c r="A1195" s="1">
        <v>43304</v>
      </c>
      <c r="B1195" t="s">
        <v>7</v>
      </c>
      <c r="C1195" t="s">
        <v>8</v>
      </c>
      <c r="D1195">
        <v>8</v>
      </c>
      <c r="E1195">
        <v>80</v>
      </c>
      <c r="F1195">
        <v>0.09</v>
      </c>
      <c r="G1195" t="s">
        <v>25</v>
      </c>
      <c r="H1195">
        <v>640</v>
      </c>
      <c r="I1195">
        <f>(Table1_1[[#This Row],[Total sales]]*Table1_1[[#This Row],[Commission]])+Table1_1[[#This Row],[Total sales]]</f>
        <v>697.6</v>
      </c>
    </row>
    <row r="1196" spans="1:9" x14ac:dyDescent="0.3">
      <c r="A1196" s="1">
        <v>43304</v>
      </c>
      <c r="B1196" t="s">
        <v>10</v>
      </c>
      <c r="C1196" t="s">
        <v>18</v>
      </c>
      <c r="D1196">
        <v>9</v>
      </c>
      <c r="E1196">
        <v>40</v>
      </c>
      <c r="F1196">
        <v>0.06</v>
      </c>
      <c r="G1196" t="s">
        <v>26</v>
      </c>
      <c r="H1196">
        <v>360</v>
      </c>
      <c r="I1196">
        <f>(Table1_1[[#This Row],[Total sales]]*Table1_1[[#This Row],[Commission]])+Table1_1[[#This Row],[Total sales]]</f>
        <v>381.6</v>
      </c>
    </row>
    <row r="1197" spans="1:9" x14ac:dyDescent="0.3">
      <c r="A1197" s="1">
        <v>43304</v>
      </c>
      <c r="B1197" t="s">
        <v>13</v>
      </c>
      <c r="C1197" t="s">
        <v>21</v>
      </c>
      <c r="D1197">
        <v>13</v>
      </c>
      <c r="E1197">
        <v>230</v>
      </c>
      <c r="F1197">
        <v>0.06</v>
      </c>
      <c r="G1197" t="s">
        <v>27</v>
      </c>
      <c r="H1197">
        <v>2990</v>
      </c>
      <c r="I1197">
        <f>(Table1_1[[#This Row],[Total sales]]*Table1_1[[#This Row],[Commission]])+Table1_1[[#This Row],[Total sales]]</f>
        <v>3169.4</v>
      </c>
    </row>
    <row r="1198" spans="1:9" x14ac:dyDescent="0.3">
      <c r="A1198" s="1">
        <v>43304</v>
      </c>
      <c r="B1198" t="s">
        <v>10</v>
      </c>
      <c r="C1198" t="s">
        <v>18</v>
      </c>
      <c r="D1198">
        <v>22</v>
      </c>
      <c r="E1198">
        <v>40</v>
      </c>
      <c r="F1198">
        <v>0.01</v>
      </c>
      <c r="G1198" t="s">
        <v>28</v>
      </c>
      <c r="H1198">
        <v>880</v>
      </c>
      <c r="I1198">
        <f>(Table1_1[[#This Row],[Total sales]]*Table1_1[[#This Row],[Commission]])+Table1_1[[#This Row],[Total sales]]</f>
        <v>888.8</v>
      </c>
    </row>
    <row r="1199" spans="1:9" x14ac:dyDescent="0.3">
      <c r="A1199" s="1">
        <v>43304</v>
      </c>
      <c r="B1199" t="s">
        <v>20</v>
      </c>
      <c r="C1199" t="s">
        <v>21</v>
      </c>
      <c r="D1199">
        <v>14</v>
      </c>
      <c r="E1199">
        <v>16</v>
      </c>
      <c r="F1199">
        <v>0.06</v>
      </c>
      <c r="G1199" t="s">
        <v>9</v>
      </c>
      <c r="H1199">
        <v>224</v>
      </c>
      <c r="I1199">
        <f>(Table1_1[[#This Row],[Total sales]]*Table1_1[[#This Row],[Commission]])+Table1_1[[#This Row],[Total sales]]</f>
        <v>237.44</v>
      </c>
    </row>
    <row r="1200" spans="1:9" x14ac:dyDescent="0.3">
      <c r="A1200" s="1">
        <v>43305</v>
      </c>
      <c r="B1200" t="s">
        <v>7</v>
      </c>
      <c r="C1200" t="s">
        <v>11</v>
      </c>
      <c r="D1200">
        <v>5</v>
      </c>
      <c r="E1200">
        <v>80</v>
      </c>
      <c r="F1200">
        <v>0.04</v>
      </c>
      <c r="G1200" t="s">
        <v>12</v>
      </c>
      <c r="H1200">
        <v>400</v>
      </c>
      <c r="I1200">
        <f>(Table1_1[[#This Row],[Total sales]]*Table1_1[[#This Row],[Commission]])+Table1_1[[#This Row],[Total sales]]</f>
        <v>416</v>
      </c>
    </row>
    <row r="1201" spans="1:9" x14ac:dyDescent="0.3">
      <c r="A1201" s="1">
        <v>43305</v>
      </c>
      <c r="B1201" t="s">
        <v>23</v>
      </c>
      <c r="C1201" t="s">
        <v>21</v>
      </c>
      <c r="D1201">
        <v>18</v>
      </c>
      <c r="E1201">
        <v>150</v>
      </c>
      <c r="F1201">
        <v>0.12</v>
      </c>
      <c r="G1201" t="s">
        <v>14</v>
      </c>
      <c r="H1201">
        <v>2700</v>
      </c>
      <c r="I1201">
        <f>(Table1_1[[#This Row],[Total sales]]*Table1_1[[#This Row],[Commission]])+Table1_1[[#This Row],[Total sales]]</f>
        <v>3024</v>
      </c>
    </row>
    <row r="1202" spans="1:9" x14ac:dyDescent="0.3">
      <c r="A1202" s="1">
        <v>43305</v>
      </c>
      <c r="B1202" t="s">
        <v>13</v>
      </c>
      <c r="C1202" t="s">
        <v>16</v>
      </c>
      <c r="D1202">
        <v>14</v>
      </c>
      <c r="E1202">
        <v>230</v>
      </c>
      <c r="F1202">
        <v>0.12</v>
      </c>
      <c r="G1202" t="s">
        <v>15</v>
      </c>
      <c r="H1202">
        <v>3220</v>
      </c>
      <c r="I1202">
        <f>(Table1_1[[#This Row],[Total sales]]*Table1_1[[#This Row],[Commission]])+Table1_1[[#This Row],[Total sales]]</f>
        <v>3606.4</v>
      </c>
    </row>
    <row r="1203" spans="1:9" x14ac:dyDescent="0.3">
      <c r="A1203" s="1">
        <v>43305</v>
      </c>
      <c r="B1203" t="s">
        <v>13</v>
      </c>
      <c r="C1203" t="s">
        <v>21</v>
      </c>
      <c r="D1203">
        <v>20</v>
      </c>
      <c r="E1203">
        <v>230</v>
      </c>
      <c r="F1203">
        <v>0.11</v>
      </c>
      <c r="G1203" t="s">
        <v>17</v>
      </c>
      <c r="H1203">
        <v>4600</v>
      </c>
      <c r="I1203">
        <f>(Table1_1[[#This Row],[Total sales]]*Table1_1[[#This Row],[Commission]])+Table1_1[[#This Row],[Total sales]]</f>
        <v>5106</v>
      </c>
    </row>
    <row r="1204" spans="1:9" x14ac:dyDescent="0.3">
      <c r="A1204" s="1">
        <v>43305</v>
      </c>
      <c r="B1204" t="s">
        <v>20</v>
      </c>
      <c r="C1204" t="s">
        <v>21</v>
      </c>
      <c r="D1204">
        <v>3</v>
      </c>
      <c r="E1204">
        <v>16</v>
      </c>
      <c r="F1204">
        <v>0.03</v>
      </c>
      <c r="G1204" t="s">
        <v>19</v>
      </c>
      <c r="H1204">
        <v>48</v>
      </c>
      <c r="I1204">
        <f>(Table1_1[[#This Row],[Total sales]]*Table1_1[[#This Row],[Commission]])+Table1_1[[#This Row],[Total sales]]</f>
        <v>49.44</v>
      </c>
    </row>
    <row r="1205" spans="1:9" x14ac:dyDescent="0.3">
      <c r="A1205" s="1">
        <v>43305</v>
      </c>
      <c r="B1205" t="s">
        <v>13</v>
      </c>
      <c r="C1205" t="s">
        <v>16</v>
      </c>
      <c r="D1205">
        <v>20</v>
      </c>
      <c r="E1205">
        <v>230</v>
      </c>
      <c r="F1205">
        <v>0.06</v>
      </c>
      <c r="G1205" t="s">
        <v>12</v>
      </c>
      <c r="H1205">
        <v>4600</v>
      </c>
      <c r="I1205">
        <f>(Table1_1[[#This Row],[Total sales]]*Table1_1[[#This Row],[Commission]])+Table1_1[[#This Row],[Total sales]]</f>
        <v>4876</v>
      </c>
    </row>
    <row r="1206" spans="1:9" x14ac:dyDescent="0.3">
      <c r="A1206" s="1">
        <v>43305</v>
      </c>
      <c r="B1206" t="s">
        <v>7</v>
      </c>
      <c r="C1206" t="s">
        <v>21</v>
      </c>
      <c r="D1206">
        <v>9</v>
      </c>
      <c r="E1206">
        <v>80</v>
      </c>
      <c r="F1206">
        <v>0.02</v>
      </c>
      <c r="G1206" t="s">
        <v>14</v>
      </c>
      <c r="H1206">
        <v>720</v>
      </c>
      <c r="I1206">
        <f>(Table1_1[[#This Row],[Total sales]]*Table1_1[[#This Row],[Commission]])+Table1_1[[#This Row],[Total sales]]</f>
        <v>734.4</v>
      </c>
    </row>
    <row r="1207" spans="1:9" x14ac:dyDescent="0.3">
      <c r="A1207" s="1">
        <v>43305</v>
      </c>
      <c r="B1207" t="s">
        <v>20</v>
      </c>
      <c r="C1207" t="s">
        <v>18</v>
      </c>
      <c r="D1207">
        <v>22</v>
      </c>
      <c r="E1207">
        <v>16</v>
      </c>
      <c r="F1207">
        <v>0.03</v>
      </c>
      <c r="G1207" t="s">
        <v>15</v>
      </c>
      <c r="H1207">
        <v>352</v>
      </c>
      <c r="I1207">
        <f>(Table1_1[[#This Row],[Total sales]]*Table1_1[[#This Row],[Commission]])+Table1_1[[#This Row],[Total sales]]</f>
        <v>362.56</v>
      </c>
    </row>
    <row r="1208" spans="1:9" x14ac:dyDescent="0.3">
      <c r="A1208" s="1">
        <v>43305</v>
      </c>
      <c r="B1208" t="s">
        <v>7</v>
      </c>
      <c r="C1208" t="s">
        <v>11</v>
      </c>
      <c r="D1208">
        <v>15</v>
      </c>
      <c r="E1208">
        <v>80</v>
      </c>
      <c r="F1208">
        <v>0.12</v>
      </c>
      <c r="G1208" t="s">
        <v>17</v>
      </c>
      <c r="H1208">
        <v>1200</v>
      </c>
      <c r="I1208">
        <f>(Table1_1[[#This Row],[Total sales]]*Table1_1[[#This Row],[Commission]])+Table1_1[[#This Row],[Total sales]]</f>
        <v>1344</v>
      </c>
    </row>
    <row r="1209" spans="1:9" x14ac:dyDescent="0.3">
      <c r="A1209" s="1">
        <v>43305</v>
      </c>
      <c r="B1209" t="s">
        <v>23</v>
      </c>
      <c r="C1209" t="s">
        <v>8</v>
      </c>
      <c r="D1209">
        <v>11</v>
      </c>
      <c r="E1209">
        <v>150</v>
      </c>
      <c r="F1209">
        <v>0.05</v>
      </c>
      <c r="G1209" t="s">
        <v>19</v>
      </c>
      <c r="H1209">
        <v>1650</v>
      </c>
      <c r="I1209">
        <f>(Table1_1[[#This Row],[Total sales]]*Table1_1[[#This Row],[Commission]])+Table1_1[[#This Row],[Total sales]]</f>
        <v>1732.5</v>
      </c>
    </row>
    <row r="1210" spans="1:9" x14ac:dyDescent="0.3">
      <c r="A1210" s="1">
        <v>43305</v>
      </c>
      <c r="B1210" t="s">
        <v>13</v>
      </c>
      <c r="C1210" t="s">
        <v>18</v>
      </c>
      <c r="D1210">
        <v>11</v>
      </c>
      <c r="E1210">
        <v>230</v>
      </c>
      <c r="F1210">
        <v>0.12</v>
      </c>
      <c r="G1210" t="s">
        <v>22</v>
      </c>
      <c r="H1210">
        <v>2530</v>
      </c>
      <c r="I1210">
        <f>(Table1_1[[#This Row],[Total sales]]*Table1_1[[#This Row],[Commission]])+Table1_1[[#This Row],[Total sales]]</f>
        <v>2833.6</v>
      </c>
    </row>
    <row r="1211" spans="1:9" x14ac:dyDescent="0.3">
      <c r="A1211" s="1">
        <v>43305</v>
      </c>
      <c r="B1211" t="s">
        <v>23</v>
      </c>
      <c r="C1211" t="s">
        <v>8</v>
      </c>
      <c r="D1211">
        <v>20</v>
      </c>
      <c r="E1211">
        <v>150</v>
      </c>
      <c r="F1211">
        <v>0.01</v>
      </c>
      <c r="G1211" t="s">
        <v>24</v>
      </c>
      <c r="H1211">
        <v>3000</v>
      </c>
      <c r="I1211">
        <f>(Table1_1[[#This Row],[Total sales]]*Table1_1[[#This Row],[Commission]])+Table1_1[[#This Row],[Total sales]]</f>
        <v>3030</v>
      </c>
    </row>
    <row r="1212" spans="1:9" x14ac:dyDescent="0.3">
      <c r="A1212" s="1">
        <v>43305</v>
      </c>
      <c r="B1212" t="s">
        <v>10</v>
      </c>
      <c r="C1212" t="s">
        <v>16</v>
      </c>
      <c r="D1212">
        <v>11</v>
      </c>
      <c r="E1212">
        <v>40</v>
      </c>
      <c r="F1212">
        <v>0.12</v>
      </c>
      <c r="G1212" t="s">
        <v>25</v>
      </c>
      <c r="H1212">
        <v>440</v>
      </c>
      <c r="I1212">
        <f>(Table1_1[[#This Row],[Total sales]]*Table1_1[[#This Row],[Commission]])+Table1_1[[#This Row],[Total sales]]</f>
        <v>492.8</v>
      </c>
    </row>
    <row r="1213" spans="1:9" x14ac:dyDescent="0.3">
      <c r="A1213" s="1">
        <v>43306</v>
      </c>
      <c r="B1213" t="s">
        <v>13</v>
      </c>
      <c r="C1213" t="s">
        <v>16</v>
      </c>
      <c r="D1213">
        <v>12</v>
      </c>
      <c r="E1213">
        <v>230</v>
      </c>
      <c r="F1213">
        <v>0.06</v>
      </c>
      <c r="G1213" t="s">
        <v>26</v>
      </c>
      <c r="H1213">
        <v>2760</v>
      </c>
      <c r="I1213">
        <f>(Table1_1[[#This Row],[Total sales]]*Table1_1[[#This Row],[Commission]])+Table1_1[[#This Row],[Total sales]]</f>
        <v>2925.6</v>
      </c>
    </row>
    <row r="1214" spans="1:9" x14ac:dyDescent="0.3">
      <c r="A1214" s="1">
        <v>43306</v>
      </c>
      <c r="B1214" t="s">
        <v>10</v>
      </c>
      <c r="C1214" t="s">
        <v>8</v>
      </c>
      <c r="D1214">
        <v>15</v>
      </c>
      <c r="E1214">
        <v>40</v>
      </c>
      <c r="F1214">
        <v>0.06</v>
      </c>
      <c r="G1214" t="s">
        <v>27</v>
      </c>
      <c r="H1214">
        <v>600</v>
      </c>
      <c r="I1214">
        <f>(Table1_1[[#This Row],[Total sales]]*Table1_1[[#This Row],[Commission]])+Table1_1[[#This Row],[Total sales]]</f>
        <v>636</v>
      </c>
    </row>
    <row r="1215" spans="1:9" x14ac:dyDescent="0.3">
      <c r="A1215" s="1">
        <v>43306</v>
      </c>
      <c r="B1215" t="s">
        <v>10</v>
      </c>
      <c r="C1215" t="s">
        <v>18</v>
      </c>
      <c r="D1215">
        <v>13</v>
      </c>
      <c r="E1215">
        <v>40</v>
      </c>
      <c r="F1215">
        <v>0.09</v>
      </c>
      <c r="G1215" t="s">
        <v>28</v>
      </c>
      <c r="H1215">
        <v>520</v>
      </c>
      <c r="I1215">
        <f>(Table1_1[[#This Row],[Total sales]]*Table1_1[[#This Row],[Commission]])+Table1_1[[#This Row],[Total sales]]</f>
        <v>566.79999999999995</v>
      </c>
    </row>
    <row r="1216" spans="1:9" x14ac:dyDescent="0.3">
      <c r="A1216" s="1">
        <v>43306</v>
      </c>
      <c r="B1216" t="s">
        <v>10</v>
      </c>
      <c r="C1216" t="s">
        <v>21</v>
      </c>
      <c r="D1216">
        <v>4</v>
      </c>
      <c r="E1216">
        <v>40</v>
      </c>
      <c r="F1216">
        <v>0.09</v>
      </c>
      <c r="G1216" t="s">
        <v>9</v>
      </c>
      <c r="H1216">
        <v>160</v>
      </c>
      <c r="I1216">
        <f>(Table1_1[[#This Row],[Total sales]]*Table1_1[[#This Row],[Commission]])+Table1_1[[#This Row],[Total sales]]</f>
        <v>174.4</v>
      </c>
    </row>
    <row r="1217" spans="1:9" x14ac:dyDescent="0.3">
      <c r="A1217" s="1">
        <v>43306</v>
      </c>
      <c r="B1217" t="s">
        <v>13</v>
      </c>
      <c r="C1217" t="s">
        <v>18</v>
      </c>
      <c r="D1217">
        <v>18</v>
      </c>
      <c r="E1217">
        <v>230</v>
      </c>
      <c r="F1217">
        <v>0.01</v>
      </c>
      <c r="G1217" t="s">
        <v>12</v>
      </c>
      <c r="H1217">
        <v>4140</v>
      </c>
      <c r="I1217">
        <f>(Table1_1[[#This Row],[Total sales]]*Table1_1[[#This Row],[Commission]])+Table1_1[[#This Row],[Total sales]]</f>
        <v>4181.3999999999996</v>
      </c>
    </row>
    <row r="1218" spans="1:9" x14ac:dyDescent="0.3">
      <c r="A1218" s="1">
        <v>43306</v>
      </c>
      <c r="B1218" t="s">
        <v>20</v>
      </c>
      <c r="C1218" t="s">
        <v>8</v>
      </c>
      <c r="D1218">
        <v>7</v>
      </c>
      <c r="E1218">
        <v>16</v>
      </c>
      <c r="F1218">
        <v>0.02</v>
      </c>
      <c r="G1218" t="s">
        <v>14</v>
      </c>
      <c r="H1218">
        <v>112</v>
      </c>
      <c r="I1218">
        <f>(Table1_1[[#This Row],[Total sales]]*Table1_1[[#This Row],[Commission]])+Table1_1[[#This Row],[Total sales]]</f>
        <v>114.24</v>
      </c>
    </row>
    <row r="1219" spans="1:9" x14ac:dyDescent="0.3">
      <c r="A1219" s="1">
        <v>43306</v>
      </c>
      <c r="B1219" t="s">
        <v>20</v>
      </c>
      <c r="C1219" t="s">
        <v>16</v>
      </c>
      <c r="D1219">
        <v>6</v>
      </c>
      <c r="E1219">
        <v>16</v>
      </c>
      <c r="F1219">
        <v>7.0000000000000007E-2</v>
      </c>
      <c r="G1219" t="s">
        <v>15</v>
      </c>
      <c r="H1219">
        <v>96</v>
      </c>
      <c r="I1219">
        <f>(Table1_1[[#This Row],[Total sales]]*Table1_1[[#This Row],[Commission]])+Table1_1[[#This Row],[Total sales]]</f>
        <v>102.72</v>
      </c>
    </row>
    <row r="1220" spans="1:9" x14ac:dyDescent="0.3">
      <c r="A1220" s="1">
        <v>43306</v>
      </c>
      <c r="B1220" t="s">
        <v>13</v>
      </c>
      <c r="C1220" t="s">
        <v>18</v>
      </c>
      <c r="D1220">
        <v>8</v>
      </c>
      <c r="E1220">
        <v>230</v>
      </c>
      <c r="F1220">
        <v>0.05</v>
      </c>
      <c r="G1220" t="s">
        <v>17</v>
      </c>
      <c r="H1220">
        <v>1840</v>
      </c>
      <c r="I1220">
        <f>(Table1_1[[#This Row],[Total sales]]*Table1_1[[#This Row],[Commission]])+Table1_1[[#This Row],[Total sales]]</f>
        <v>1932</v>
      </c>
    </row>
    <row r="1221" spans="1:9" x14ac:dyDescent="0.3">
      <c r="A1221" s="1">
        <v>43306</v>
      </c>
      <c r="B1221" t="s">
        <v>20</v>
      </c>
      <c r="C1221" t="s">
        <v>16</v>
      </c>
      <c r="D1221">
        <v>12</v>
      </c>
      <c r="E1221">
        <v>16</v>
      </c>
      <c r="F1221">
        <v>0.11</v>
      </c>
      <c r="G1221" t="s">
        <v>19</v>
      </c>
      <c r="H1221">
        <v>192</v>
      </c>
      <c r="I1221">
        <f>(Table1_1[[#This Row],[Total sales]]*Table1_1[[#This Row],[Commission]])+Table1_1[[#This Row],[Total sales]]</f>
        <v>213.12</v>
      </c>
    </row>
    <row r="1222" spans="1:9" x14ac:dyDescent="0.3">
      <c r="A1222" s="1">
        <v>43306</v>
      </c>
      <c r="B1222" t="s">
        <v>13</v>
      </c>
      <c r="C1222" t="s">
        <v>8</v>
      </c>
      <c r="D1222">
        <v>11</v>
      </c>
      <c r="E1222">
        <v>230</v>
      </c>
      <c r="F1222">
        <v>0.02</v>
      </c>
      <c r="G1222" t="s">
        <v>12</v>
      </c>
      <c r="H1222">
        <v>2530</v>
      </c>
      <c r="I1222">
        <f>(Table1_1[[#This Row],[Total sales]]*Table1_1[[#This Row],[Commission]])+Table1_1[[#This Row],[Total sales]]</f>
        <v>2580.6</v>
      </c>
    </row>
    <row r="1223" spans="1:9" x14ac:dyDescent="0.3">
      <c r="A1223" s="1">
        <v>43306</v>
      </c>
      <c r="B1223" t="s">
        <v>20</v>
      </c>
      <c r="C1223" t="s">
        <v>16</v>
      </c>
      <c r="D1223">
        <v>3</v>
      </c>
      <c r="E1223">
        <v>16</v>
      </c>
      <c r="F1223">
        <v>0.05</v>
      </c>
      <c r="G1223" t="s">
        <v>14</v>
      </c>
      <c r="H1223">
        <v>48</v>
      </c>
      <c r="I1223">
        <f>(Table1_1[[#This Row],[Total sales]]*Table1_1[[#This Row],[Commission]])+Table1_1[[#This Row],[Total sales]]</f>
        <v>50.4</v>
      </c>
    </row>
    <row r="1224" spans="1:9" x14ac:dyDescent="0.3">
      <c r="A1224" s="1">
        <v>43307</v>
      </c>
      <c r="B1224" t="s">
        <v>23</v>
      </c>
      <c r="C1224" t="s">
        <v>11</v>
      </c>
      <c r="D1224">
        <v>16</v>
      </c>
      <c r="E1224">
        <v>150</v>
      </c>
      <c r="F1224">
        <v>0.05</v>
      </c>
      <c r="G1224" t="s">
        <v>15</v>
      </c>
      <c r="H1224">
        <v>2400</v>
      </c>
      <c r="I1224">
        <f>(Table1_1[[#This Row],[Total sales]]*Table1_1[[#This Row],[Commission]])+Table1_1[[#This Row],[Total sales]]</f>
        <v>2520</v>
      </c>
    </row>
    <row r="1225" spans="1:9" x14ac:dyDescent="0.3">
      <c r="A1225" s="1">
        <v>43307</v>
      </c>
      <c r="B1225" t="s">
        <v>13</v>
      </c>
      <c r="C1225" t="s">
        <v>18</v>
      </c>
      <c r="D1225">
        <v>8</v>
      </c>
      <c r="E1225">
        <v>230</v>
      </c>
      <c r="F1225">
        <v>0.01</v>
      </c>
      <c r="G1225" t="s">
        <v>17</v>
      </c>
      <c r="H1225">
        <v>1840</v>
      </c>
      <c r="I1225">
        <f>(Table1_1[[#This Row],[Total sales]]*Table1_1[[#This Row],[Commission]])+Table1_1[[#This Row],[Total sales]]</f>
        <v>1858.4</v>
      </c>
    </row>
    <row r="1226" spans="1:9" x14ac:dyDescent="0.3">
      <c r="A1226" s="1">
        <v>43307</v>
      </c>
      <c r="B1226" t="s">
        <v>7</v>
      </c>
      <c r="C1226" t="s">
        <v>16</v>
      </c>
      <c r="D1226">
        <v>16</v>
      </c>
      <c r="E1226">
        <v>80</v>
      </c>
      <c r="F1226">
        <v>0.04</v>
      </c>
      <c r="G1226" t="s">
        <v>19</v>
      </c>
      <c r="H1226">
        <v>1280</v>
      </c>
      <c r="I1226">
        <f>(Table1_1[[#This Row],[Total sales]]*Table1_1[[#This Row],[Commission]])+Table1_1[[#This Row],[Total sales]]</f>
        <v>1331.2</v>
      </c>
    </row>
    <row r="1227" spans="1:9" x14ac:dyDescent="0.3">
      <c r="A1227" s="1">
        <v>43307</v>
      </c>
      <c r="B1227" t="s">
        <v>20</v>
      </c>
      <c r="C1227" t="s">
        <v>18</v>
      </c>
      <c r="D1227">
        <v>18</v>
      </c>
      <c r="E1227">
        <v>16</v>
      </c>
      <c r="F1227">
        <v>0.04</v>
      </c>
      <c r="G1227" t="s">
        <v>22</v>
      </c>
      <c r="H1227">
        <v>288</v>
      </c>
      <c r="I1227">
        <f>(Table1_1[[#This Row],[Total sales]]*Table1_1[[#This Row],[Commission]])+Table1_1[[#This Row],[Total sales]]</f>
        <v>299.52</v>
      </c>
    </row>
    <row r="1228" spans="1:9" x14ac:dyDescent="0.3">
      <c r="A1228" s="1">
        <v>43307</v>
      </c>
      <c r="B1228" t="s">
        <v>10</v>
      </c>
      <c r="C1228" t="s">
        <v>21</v>
      </c>
      <c r="D1228">
        <v>14</v>
      </c>
      <c r="E1228">
        <v>40</v>
      </c>
      <c r="F1228">
        <v>0.11</v>
      </c>
      <c r="G1228" t="s">
        <v>24</v>
      </c>
      <c r="H1228">
        <v>560</v>
      </c>
      <c r="I1228">
        <f>(Table1_1[[#This Row],[Total sales]]*Table1_1[[#This Row],[Commission]])+Table1_1[[#This Row],[Total sales]]</f>
        <v>621.6</v>
      </c>
    </row>
    <row r="1229" spans="1:9" x14ac:dyDescent="0.3">
      <c r="A1229" s="1">
        <v>43307</v>
      </c>
      <c r="B1229" t="s">
        <v>20</v>
      </c>
      <c r="C1229" t="s">
        <v>11</v>
      </c>
      <c r="D1229">
        <v>21</v>
      </c>
      <c r="E1229">
        <v>16</v>
      </c>
      <c r="F1229">
        <v>0.02</v>
      </c>
      <c r="G1229" t="s">
        <v>25</v>
      </c>
      <c r="H1229">
        <v>336</v>
      </c>
      <c r="I1229">
        <f>(Table1_1[[#This Row],[Total sales]]*Table1_1[[#This Row],[Commission]])+Table1_1[[#This Row],[Total sales]]</f>
        <v>342.72</v>
      </c>
    </row>
    <row r="1230" spans="1:9" x14ac:dyDescent="0.3">
      <c r="A1230" s="1">
        <v>43307</v>
      </c>
      <c r="B1230" t="s">
        <v>20</v>
      </c>
      <c r="C1230" t="s">
        <v>11</v>
      </c>
      <c r="D1230">
        <v>7</v>
      </c>
      <c r="E1230">
        <v>16</v>
      </c>
      <c r="F1230">
        <v>0.08</v>
      </c>
      <c r="G1230" t="s">
        <v>26</v>
      </c>
      <c r="H1230">
        <v>112</v>
      </c>
      <c r="I1230">
        <f>(Table1_1[[#This Row],[Total sales]]*Table1_1[[#This Row],[Commission]])+Table1_1[[#This Row],[Total sales]]</f>
        <v>120.96000000000001</v>
      </c>
    </row>
    <row r="1231" spans="1:9" x14ac:dyDescent="0.3">
      <c r="A1231" s="1">
        <v>43307</v>
      </c>
      <c r="B1231" t="s">
        <v>7</v>
      </c>
      <c r="C1231" t="s">
        <v>16</v>
      </c>
      <c r="D1231">
        <v>7</v>
      </c>
      <c r="E1231">
        <v>80</v>
      </c>
      <c r="F1231">
        <v>0.05</v>
      </c>
      <c r="G1231" t="s">
        <v>27</v>
      </c>
      <c r="H1231">
        <v>560</v>
      </c>
      <c r="I1231">
        <f>(Table1_1[[#This Row],[Total sales]]*Table1_1[[#This Row],[Commission]])+Table1_1[[#This Row],[Total sales]]</f>
        <v>588</v>
      </c>
    </row>
    <row r="1232" spans="1:9" x14ac:dyDescent="0.3">
      <c r="A1232" s="1">
        <v>43307</v>
      </c>
      <c r="B1232" t="s">
        <v>10</v>
      </c>
      <c r="C1232" t="s">
        <v>21</v>
      </c>
      <c r="D1232">
        <v>16</v>
      </c>
      <c r="E1232">
        <v>40</v>
      </c>
      <c r="F1232">
        <v>0.09</v>
      </c>
      <c r="G1232" t="s">
        <v>28</v>
      </c>
      <c r="H1232">
        <v>640</v>
      </c>
      <c r="I1232">
        <f>(Table1_1[[#This Row],[Total sales]]*Table1_1[[#This Row],[Commission]])+Table1_1[[#This Row],[Total sales]]</f>
        <v>697.6</v>
      </c>
    </row>
    <row r="1233" spans="1:9" x14ac:dyDescent="0.3">
      <c r="A1233" s="1">
        <v>43307</v>
      </c>
      <c r="B1233" t="s">
        <v>13</v>
      </c>
      <c r="C1233" t="s">
        <v>21</v>
      </c>
      <c r="D1233">
        <v>22</v>
      </c>
      <c r="E1233">
        <v>230</v>
      </c>
      <c r="F1233">
        <v>0.1</v>
      </c>
      <c r="G1233" t="s">
        <v>9</v>
      </c>
      <c r="H1233">
        <v>5060</v>
      </c>
      <c r="I1233">
        <f>(Table1_1[[#This Row],[Total sales]]*Table1_1[[#This Row],[Commission]])+Table1_1[[#This Row],[Total sales]]</f>
        <v>5566</v>
      </c>
    </row>
    <row r="1234" spans="1:9" x14ac:dyDescent="0.3">
      <c r="A1234" s="1">
        <v>43307</v>
      </c>
      <c r="B1234" t="s">
        <v>10</v>
      </c>
      <c r="C1234" t="s">
        <v>11</v>
      </c>
      <c r="D1234">
        <v>4</v>
      </c>
      <c r="E1234">
        <v>40</v>
      </c>
      <c r="F1234">
        <v>0.03</v>
      </c>
      <c r="G1234" t="s">
        <v>12</v>
      </c>
      <c r="H1234">
        <v>160</v>
      </c>
      <c r="I1234">
        <f>(Table1_1[[#This Row],[Total sales]]*Table1_1[[#This Row],[Commission]])+Table1_1[[#This Row],[Total sales]]</f>
        <v>164.8</v>
      </c>
    </row>
    <row r="1235" spans="1:9" x14ac:dyDescent="0.3">
      <c r="A1235" s="1">
        <v>43307</v>
      </c>
      <c r="B1235" t="s">
        <v>13</v>
      </c>
      <c r="C1235" t="s">
        <v>21</v>
      </c>
      <c r="D1235">
        <v>3</v>
      </c>
      <c r="E1235">
        <v>230</v>
      </c>
      <c r="F1235">
        <v>0.1</v>
      </c>
      <c r="G1235" t="s">
        <v>14</v>
      </c>
      <c r="H1235">
        <v>690</v>
      </c>
      <c r="I1235">
        <f>(Table1_1[[#This Row],[Total sales]]*Table1_1[[#This Row],[Commission]])+Table1_1[[#This Row],[Total sales]]</f>
        <v>759</v>
      </c>
    </row>
    <row r="1236" spans="1:9" x14ac:dyDescent="0.3">
      <c r="A1236" s="1">
        <v>43307</v>
      </c>
      <c r="B1236" t="s">
        <v>7</v>
      </c>
      <c r="C1236" t="s">
        <v>11</v>
      </c>
      <c r="D1236">
        <v>14</v>
      </c>
      <c r="E1236">
        <v>80</v>
      </c>
      <c r="F1236">
        <v>0.11</v>
      </c>
      <c r="G1236" t="s">
        <v>15</v>
      </c>
      <c r="H1236">
        <v>1120</v>
      </c>
      <c r="I1236">
        <f>(Table1_1[[#This Row],[Total sales]]*Table1_1[[#This Row],[Commission]])+Table1_1[[#This Row],[Total sales]]</f>
        <v>1243.2</v>
      </c>
    </row>
    <row r="1237" spans="1:9" x14ac:dyDescent="0.3">
      <c r="A1237" s="1">
        <v>43308</v>
      </c>
      <c r="B1237" t="s">
        <v>10</v>
      </c>
      <c r="C1237" t="s">
        <v>21</v>
      </c>
      <c r="D1237">
        <v>21</v>
      </c>
      <c r="E1237">
        <v>40</v>
      </c>
      <c r="F1237">
        <v>0.01</v>
      </c>
      <c r="G1237" t="s">
        <v>17</v>
      </c>
      <c r="H1237">
        <v>840</v>
      </c>
      <c r="I1237">
        <f>(Table1_1[[#This Row],[Total sales]]*Table1_1[[#This Row],[Commission]])+Table1_1[[#This Row],[Total sales]]</f>
        <v>848.4</v>
      </c>
    </row>
    <row r="1238" spans="1:9" x14ac:dyDescent="0.3">
      <c r="A1238" s="1">
        <v>43308</v>
      </c>
      <c r="B1238" t="s">
        <v>20</v>
      </c>
      <c r="C1238" t="s">
        <v>11</v>
      </c>
      <c r="D1238">
        <v>20</v>
      </c>
      <c r="E1238">
        <v>16</v>
      </c>
      <c r="F1238">
        <v>0.06</v>
      </c>
      <c r="G1238" t="s">
        <v>19</v>
      </c>
      <c r="H1238">
        <v>320</v>
      </c>
      <c r="I1238">
        <f>(Table1_1[[#This Row],[Total sales]]*Table1_1[[#This Row],[Commission]])+Table1_1[[#This Row],[Total sales]]</f>
        <v>339.2</v>
      </c>
    </row>
    <row r="1239" spans="1:9" x14ac:dyDescent="0.3">
      <c r="A1239" s="1">
        <v>43308</v>
      </c>
      <c r="B1239" t="s">
        <v>7</v>
      </c>
      <c r="C1239" t="s">
        <v>21</v>
      </c>
      <c r="D1239">
        <v>22</v>
      </c>
      <c r="E1239">
        <v>80</v>
      </c>
      <c r="F1239">
        <v>0.11</v>
      </c>
      <c r="G1239" t="s">
        <v>12</v>
      </c>
      <c r="H1239">
        <v>1760</v>
      </c>
      <c r="I1239">
        <f>(Table1_1[[#This Row],[Total sales]]*Table1_1[[#This Row],[Commission]])+Table1_1[[#This Row],[Total sales]]</f>
        <v>1953.6</v>
      </c>
    </row>
    <row r="1240" spans="1:9" x14ac:dyDescent="0.3">
      <c r="A1240" s="1">
        <v>43308</v>
      </c>
      <c r="B1240" t="s">
        <v>10</v>
      </c>
      <c r="C1240" t="s">
        <v>8</v>
      </c>
      <c r="D1240">
        <v>7</v>
      </c>
      <c r="E1240">
        <v>40</v>
      </c>
      <c r="F1240">
        <v>0.1</v>
      </c>
      <c r="G1240" t="s">
        <v>14</v>
      </c>
      <c r="H1240">
        <v>280</v>
      </c>
      <c r="I1240">
        <f>(Table1_1[[#This Row],[Total sales]]*Table1_1[[#This Row],[Commission]])+Table1_1[[#This Row],[Total sales]]</f>
        <v>308</v>
      </c>
    </row>
    <row r="1241" spans="1:9" x14ac:dyDescent="0.3">
      <c r="A1241" s="1">
        <v>43308</v>
      </c>
      <c r="B1241" t="s">
        <v>23</v>
      </c>
      <c r="C1241" t="s">
        <v>11</v>
      </c>
      <c r="D1241">
        <v>16</v>
      </c>
      <c r="E1241">
        <v>150</v>
      </c>
      <c r="F1241">
        <v>0.05</v>
      </c>
      <c r="G1241" t="s">
        <v>15</v>
      </c>
      <c r="H1241">
        <v>2400</v>
      </c>
      <c r="I1241">
        <f>(Table1_1[[#This Row],[Total sales]]*Table1_1[[#This Row],[Commission]])+Table1_1[[#This Row],[Total sales]]</f>
        <v>2520</v>
      </c>
    </row>
    <row r="1242" spans="1:9" x14ac:dyDescent="0.3">
      <c r="A1242" s="1">
        <v>43308</v>
      </c>
      <c r="B1242" t="s">
        <v>13</v>
      </c>
      <c r="C1242" t="s">
        <v>11</v>
      </c>
      <c r="D1242">
        <v>7</v>
      </c>
      <c r="E1242">
        <v>230</v>
      </c>
      <c r="F1242">
        <v>0.05</v>
      </c>
      <c r="G1242" t="s">
        <v>17</v>
      </c>
      <c r="H1242">
        <v>1610</v>
      </c>
      <c r="I1242">
        <f>(Table1_1[[#This Row],[Total sales]]*Table1_1[[#This Row],[Commission]])+Table1_1[[#This Row],[Total sales]]</f>
        <v>1690.5</v>
      </c>
    </row>
    <row r="1243" spans="1:9" x14ac:dyDescent="0.3">
      <c r="A1243" s="1">
        <v>43308</v>
      </c>
      <c r="B1243" t="s">
        <v>23</v>
      </c>
      <c r="C1243" t="s">
        <v>8</v>
      </c>
      <c r="D1243">
        <v>20</v>
      </c>
      <c r="E1243">
        <v>150</v>
      </c>
      <c r="F1243">
        <v>0.03</v>
      </c>
      <c r="G1243" t="s">
        <v>19</v>
      </c>
      <c r="H1243">
        <v>3000</v>
      </c>
      <c r="I1243">
        <f>(Table1_1[[#This Row],[Total sales]]*Table1_1[[#This Row],[Commission]])+Table1_1[[#This Row],[Total sales]]</f>
        <v>3090</v>
      </c>
    </row>
    <row r="1244" spans="1:9" x14ac:dyDescent="0.3">
      <c r="A1244" s="1">
        <v>43308</v>
      </c>
      <c r="B1244" t="s">
        <v>23</v>
      </c>
      <c r="C1244" t="s">
        <v>11</v>
      </c>
      <c r="D1244">
        <v>16</v>
      </c>
      <c r="E1244">
        <v>150</v>
      </c>
      <c r="F1244">
        <v>0.03</v>
      </c>
      <c r="G1244" t="s">
        <v>22</v>
      </c>
      <c r="H1244">
        <v>2400</v>
      </c>
      <c r="I1244">
        <f>(Table1_1[[#This Row],[Total sales]]*Table1_1[[#This Row],[Commission]])+Table1_1[[#This Row],[Total sales]]</f>
        <v>2472</v>
      </c>
    </row>
    <row r="1245" spans="1:9" x14ac:dyDescent="0.3">
      <c r="A1245" s="1">
        <v>43308</v>
      </c>
      <c r="B1245" t="s">
        <v>20</v>
      </c>
      <c r="C1245" t="s">
        <v>18</v>
      </c>
      <c r="D1245">
        <v>10</v>
      </c>
      <c r="E1245">
        <v>16</v>
      </c>
      <c r="F1245">
        <v>0.04</v>
      </c>
      <c r="G1245" t="s">
        <v>24</v>
      </c>
      <c r="H1245">
        <v>160</v>
      </c>
      <c r="I1245">
        <f>(Table1_1[[#This Row],[Total sales]]*Table1_1[[#This Row],[Commission]])+Table1_1[[#This Row],[Total sales]]</f>
        <v>166.4</v>
      </c>
    </row>
    <row r="1246" spans="1:9" x14ac:dyDescent="0.3">
      <c r="A1246" s="1">
        <v>43308</v>
      </c>
      <c r="B1246" t="s">
        <v>7</v>
      </c>
      <c r="C1246" t="s">
        <v>21</v>
      </c>
      <c r="D1246">
        <v>6</v>
      </c>
      <c r="E1246">
        <v>80</v>
      </c>
      <c r="F1246">
        <v>0.09</v>
      </c>
      <c r="G1246" t="s">
        <v>25</v>
      </c>
      <c r="H1246">
        <v>480</v>
      </c>
      <c r="I1246">
        <f>(Table1_1[[#This Row],[Total sales]]*Table1_1[[#This Row],[Commission]])+Table1_1[[#This Row],[Total sales]]</f>
        <v>523.20000000000005</v>
      </c>
    </row>
    <row r="1247" spans="1:9" x14ac:dyDescent="0.3">
      <c r="A1247" s="1">
        <v>43308</v>
      </c>
      <c r="B1247" t="s">
        <v>7</v>
      </c>
      <c r="C1247" t="s">
        <v>8</v>
      </c>
      <c r="D1247">
        <v>17</v>
      </c>
      <c r="E1247">
        <v>80</v>
      </c>
      <c r="F1247">
        <v>0.09</v>
      </c>
      <c r="G1247" t="s">
        <v>26</v>
      </c>
      <c r="H1247">
        <v>1360</v>
      </c>
      <c r="I1247">
        <f>(Table1_1[[#This Row],[Total sales]]*Table1_1[[#This Row],[Commission]])+Table1_1[[#This Row],[Total sales]]</f>
        <v>1482.4</v>
      </c>
    </row>
    <row r="1248" spans="1:9" x14ac:dyDescent="0.3">
      <c r="A1248" s="1">
        <v>43308</v>
      </c>
      <c r="B1248" t="s">
        <v>10</v>
      </c>
      <c r="C1248" t="s">
        <v>8</v>
      </c>
      <c r="D1248">
        <v>19</v>
      </c>
      <c r="E1248">
        <v>40</v>
      </c>
      <c r="F1248">
        <v>0.04</v>
      </c>
      <c r="G1248" t="s">
        <v>27</v>
      </c>
      <c r="H1248">
        <v>760</v>
      </c>
      <c r="I1248">
        <f>(Table1_1[[#This Row],[Total sales]]*Table1_1[[#This Row],[Commission]])+Table1_1[[#This Row],[Total sales]]</f>
        <v>790.4</v>
      </c>
    </row>
    <row r="1249" spans="1:9" x14ac:dyDescent="0.3">
      <c r="A1249" s="1">
        <v>43308</v>
      </c>
      <c r="B1249" t="s">
        <v>10</v>
      </c>
      <c r="C1249" t="s">
        <v>21</v>
      </c>
      <c r="D1249">
        <v>16</v>
      </c>
      <c r="E1249">
        <v>40</v>
      </c>
      <c r="F1249">
        <v>0.09</v>
      </c>
      <c r="G1249" t="s">
        <v>28</v>
      </c>
      <c r="H1249">
        <v>640</v>
      </c>
      <c r="I1249">
        <f>(Table1_1[[#This Row],[Total sales]]*Table1_1[[#This Row],[Commission]])+Table1_1[[#This Row],[Total sales]]</f>
        <v>697.6</v>
      </c>
    </row>
    <row r="1250" spans="1:9" x14ac:dyDescent="0.3">
      <c r="A1250" s="1">
        <v>43308</v>
      </c>
      <c r="B1250" t="s">
        <v>20</v>
      </c>
      <c r="C1250" t="s">
        <v>8</v>
      </c>
      <c r="D1250">
        <v>4</v>
      </c>
      <c r="E1250">
        <v>16</v>
      </c>
      <c r="F1250">
        <v>0.12</v>
      </c>
      <c r="G1250" t="s">
        <v>9</v>
      </c>
      <c r="H1250">
        <v>64</v>
      </c>
      <c r="I1250">
        <f>(Table1_1[[#This Row],[Total sales]]*Table1_1[[#This Row],[Commission]])+Table1_1[[#This Row],[Total sales]]</f>
        <v>71.680000000000007</v>
      </c>
    </row>
    <row r="1251" spans="1:9" x14ac:dyDescent="0.3">
      <c r="A1251" s="1">
        <v>43308</v>
      </c>
      <c r="B1251" t="s">
        <v>23</v>
      </c>
      <c r="C1251" t="s">
        <v>18</v>
      </c>
      <c r="D1251">
        <v>9</v>
      </c>
      <c r="E1251">
        <v>150</v>
      </c>
      <c r="F1251">
        <v>0.02</v>
      </c>
      <c r="G1251" t="s">
        <v>12</v>
      </c>
      <c r="H1251">
        <v>1350</v>
      </c>
      <c r="I1251">
        <f>(Table1_1[[#This Row],[Total sales]]*Table1_1[[#This Row],[Commission]])+Table1_1[[#This Row],[Total sales]]</f>
        <v>1377</v>
      </c>
    </row>
    <row r="1252" spans="1:9" x14ac:dyDescent="0.3">
      <c r="A1252" s="1">
        <v>43308</v>
      </c>
      <c r="B1252" t="s">
        <v>20</v>
      </c>
      <c r="C1252" t="s">
        <v>8</v>
      </c>
      <c r="D1252">
        <v>11</v>
      </c>
      <c r="E1252">
        <v>16</v>
      </c>
      <c r="F1252">
        <v>0.09</v>
      </c>
      <c r="G1252" t="s">
        <v>14</v>
      </c>
      <c r="H1252">
        <v>176</v>
      </c>
      <c r="I1252">
        <f>(Table1_1[[#This Row],[Total sales]]*Table1_1[[#This Row],[Commission]])+Table1_1[[#This Row],[Total sales]]</f>
        <v>191.84</v>
      </c>
    </row>
    <row r="1253" spans="1:9" x14ac:dyDescent="0.3">
      <c r="A1253" s="1">
        <v>43308</v>
      </c>
      <c r="B1253" t="s">
        <v>7</v>
      </c>
      <c r="C1253" t="s">
        <v>11</v>
      </c>
      <c r="D1253">
        <v>17</v>
      </c>
      <c r="E1253">
        <v>80</v>
      </c>
      <c r="F1253">
        <v>0.03</v>
      </c>
      <c r="G1253" t="s">
        <v>15</v>
      </c>
      <c r="H1253">
        <v>1360</v>
      </c>
      <c r="I1253">
        <f>(Table1_1[[#This Row],[Total sales]]*Table1_1[[#This Row],[Commission]])+Table1_1[[#This Row],[Total sales]]</f>
        <v>1400.8</v>
      </c>
    </row>
    <row r="1254" spans="1:9" x14ac:dyDescent="0.3">
      <c r="A1254" s="1">
        <v>43309</v>
      </c>
      <c r="B1254" t="s">
        <v>23</v>
      </c>
      <c r="C1254" t="s">
        <v>8</v>
      </c>
      <c r="D1254">
        <v>3</v>
      </c>
      <c r="E1254">
        <v>150</v>
      </c>
      <c r="F1254">
        <v>0.03</v>
      </c>
      <c r="G1254" t="s">
        <v>17</v>
      </c>
      <c r="H1254">
        <v>450</v>
      </c>
      <c r="I1254">
        <f>(Table1_1[[#This Row],[Total sales]]*Table1_1[[#This Row],[Commission]])+Table1_1[[#This Row],[Total sales]]</f>
        <v>463.5</v>
      </c>
    </row>
    <row r="1255" spans="1:9" x14ac:dyDescent="0.3">
      <c r="A1255" s="1">
        <v>43309</v>
      </c>
      <c r="B1255" t="s">
        <v>13</v>
      </c>
      <c r="C1255" t="s">
        <v>18</v>
      </c>
      <c r="D1255">
        <v>2</v>
      </c>
      <c r="E1255">
        <v>230</v>
      </c>
      <c r="F1255">
        <v>0.08</v>
      </c>
      <c r="G1255" t="s">
        <v>19</v>
      </c>
      <c r="H1255">
        <v>460</v>
      </c>
      <c r="I1255">
        <f>(Table1_1[[#This Row],[Total sales]]*Table1_1[[#This Row],[Commission]])+Table1_1[[#This Row],[Total sales]]</f>
        <v>496.8</v>
      </c>
    </row>
    <row r="1256" spans="1:9" x14ac:dyDescent="0.3">
      <c r="A1256" s="1">
        <v>43309</v>
      </c>
      <c r="B1256" t="s">
        <v>13</v>
      </c>
      <c r="C1256" t="s">
        <v>18</v>
      </c>
      <c r="D1256">
        <v>17</v>
      </c>
      <c r="E1256">
        <v>230</v>
      </c>
      <c r="F1256">
        <v>0.12</v>
      </c>
      <c r="G1256" t="s">
        <v>12</v>
      </c>
      <c r="H1256">
        <v>3910</v>
      </c>
      <c r="I1256">
        <f>(Table1_1[[#This Row],[Total sales]]*Table1_1[[#This Row],[Commission]])+Table1_1[[#This Row],[Total sales]]</f>
        <v>4379.2</v>
      </c>
    </row>
    <row r="1257" spans="1:9" x14ac:dyDescent="0.3">
      <c r="A1257" s="1">
        <v>43309</v>
      </c>
      <c r="B1257" t="s">
        <v>23</v>
      </c>
      <c r="C1257" t="s">
        <v>11</v>
      </c>
      <c r="D1257">
        <v>2</v>
      </c>
      <c r="E1257">
        <v>150</v>
      </c>
      <c r="F1257">
        <v>0.09</v>
      </c>
      <c r="G1257" t="s">
        <v>14</v>
      </c>
      <c r="H1257">
        <v>300</v>
      </c>
      <c r="I1257">
        <f>(Table1_1[[#This Row],[Total sales]]*Table1_1[[#This Row],[Commission]])+Table1_1[[#This Row],[Total sales]]</f>
        <v>327</v>
      </c>
    </row>
    <row r="1258" spans="1:9" x14ac:dyDescent="0.3">
      <c r="A1258" s="1">
        <v>43309</v>
      </c>
      <c r="B1258" t="s">
        <v>10</v>
      </c>
      <c r="C1258" t="s">
        <v>18</v>
      </c>
      <c r="D1258">
        <v>18</v>
      </c>
      <c r="E1258">
        <v>40</v>
      </c>
      <c r="F1258">
        <v>0.06</v>
      </c>
      <c r="G1258" t="s">
        <v>15</v>
      </c>
      <c r="H1258">
        <v>720</v>
      </c>
      <c r="I1258">
        <f>(Table1_1[[#This Row],[Total sales]]*Table1_1[[#This Row],[Commission]])+Table1_1[[#This Row],[Total sales]]</f>
        <v>763.2</v>
      </c>
    </row>
    <row r="1259" spans="1:9" x14ac:dyDescent="0.3">
      <c r="A1259" s="1">
        <v>43309</v>
      </c>
      <c r="B1259" t="s">
        <v>23</v>
      </c>
      <c r="C1259" t="s">
        <v>16</v>
      </c>
      <c r="D1259">
        <v>18</v>
      </c>
      <c r="E1259">
        <v>150</v>
      </c>
      <c r="F1259">
        <v>0.06</v>
      </c>
      <c r="G1259" t="s">
        <v>17</v>
      </c>
      <c r="H1259">
        <v>2700</v>
      </c>
      <c r="I1259">
        <f>(Table1_1[[#This Row],[Total sales]]*Table1_1[[#This Row],[Commission]])+Table1_1[[#This Row],[Total sales]]</f>
        <v>2862</v>
      </c>
    </row>
    <row r="1260" spans="1:9" x14ac:dyDescent="0.3">
      <c r="A1260" s="1">
        <v>43309</v>
      </c>
      <c r="B1260" t="s">
        <v>10</v>
      </c>
      <c r="C1260" t="s">
        <v>11</v>
      </c>
      <c r="D1260">
        <v>12</v>
      </c>
      <c r="E1260">
        <v>40</v>
      </c>
      <c r="F1260">
        <v>0.1</v>
      </c>
      <c r="G1260" t="s">
        <v>19</v>
      </c>
      <c r="H1260">
        <v>480</v>
      </c>
      <c r="I1260">
        <f>(Table1_1[[#This Row],[Total sales]]*Table1_1[[#This Row],[Commission]])+Table1_1[[#This Row],[Total sales]]</f>
        <v>528</v>
      </c>
    </row>
    <row r="1261" spans="1:9" x14ac:dyDescent="0.3">
      <c r="A1261" s="1">
        <v>43309</v>
      </c>
      <c r="B1261" t="s">
        <v>7</v>
      </c>
      <c r="C1261" t="s">
        <v>8</v>
      </c>
      <c r="D1261">
        <v>21</v>
      </c>
      <c r="E1261">
        <v>80</v>
      </c>
      <c r="F1261">
        <v>0.04</v>
      </c>
      <c r="G1261" t="s">
        <v>22</v>
      </c>
      <c r="H1261">
        <v>1680</v>
      </c>
      <c r="I1261">
        <f>(Table1_1[[#This Row],[Total sales]]*Table1_1[[#This Row],[Commission]])+Table1_1[[#This Row],[Total sales]]</f>
        <v>1747.2</v>
      </c>
    </row>
    <row r="1262" spans="1:9" x14ac:dyDescent="0.3">
      <c r="A1262" s="1">
        <v>43309</v>
      </c>
      <c r="B1262" t="s">
        <v>10</v>
      </c>
      <c r="C1262" t="s">
        <v>21</v>
      </c>
      <c r="D1262">
        <v>3</v>
      </c>
      <c r="E1262">
        <v>40</v>
      </c>
      <c r="F1262">
        <v>0.03</v>
      </c>
      <c r="G1262" t="s">
        <v>24</v>
      </c>
      <c r="H1262">
        <v>120</v>
      </c>
      <c r="I1262">
        <f>(Table1_1[[#This Row],[Total sales]]*Table1_1[[#This Row],[Commission]])+Table1_1[[#This Row],[Total sales]]</f>
        <v>123.6</v>
      </c>
    </row>
    <row r="1263" spans="1:9" x14ac:dyDescent="0.3">
      <c r="A1263" s="1">
        <v>43309</v>
      </c>
      <c r="B1263" t="s">
        <v>7</v>
      </c>
      <c r="C1263" t="s">
        <v>21</v>
      </c>
      <c r="D1263">
        <v>22</v>
      </c>
      <c r="E1263">
        <v>80</v>
      </c>
      <c r="F1263">
        <v>0.1</v>
      </c>
      <c r="G1263" t="s">
        <v>25</v>
      </c>
      <c r="H1263">
        <v>1760</v>
      </c>
      <c r="I1263">
        <f>(Table1_1[[#This Row],[Total sales]]*Table1_1[[#This Row],[Commission]])+Table1_1[[#This Row],[Total sales]]</f>
        <v>1936</v>
      </c>
    </row>
    <row r="1264" spans="1:9" x14ac:dyDescent="0.3">
      <c r="A1264" s="1">
        <v>43309</v>
      </c>
      <c r="B1264" t="s">
        <v>10</v>
      </c>
      <c r="C1264" t="s">
        <v>21</v>
      </c>
      <c r="D1264">
        <v>16</v>
      </c>
      <c r="E1264">
        <v>40</v>
      </c>
      <c r="F1264">
        <v>0.11</v>
      </c>
      <c r="G1264" t="s">
        <v>26</v>
      </c>
      <c r="H1264">
        <v>640</v>
      </c>
      <c r="I1264">
        <f>(Table1_1[[#This Row],[Total sales]]*Table1_1[[#This Row],[Commission]])+Table1_1[[#This Row],[Total sales]]</f>
        <v>710.4</v>
      </c>
    </row>
    <row r="1265" spans="1:9" x14ac:dyDescent="0.3">
      <c r="A1265" s="1">
        <v>43309</v>
      </c>
      <c r="B1265" t="s">
        <v>20</v>
      </c>
      <c r="C1265" t="s">
        <v>8</v>
      </c>
      <c r="D1265">
        <v>11</v>
      </c>
      <c r="E1265">
        <v>16</v>
      </c>
      <c r="F1265">
        <v>0.09</v>
      </c>
      <c r="G1265" t="s">
        <v>27</v>
      </c>
      <c r="H1265">
        <v>176</v>
      </c>
      <c r="I1265">
        <f>(Table1_1[[#This Row],[Total sales]]*Table1_1[[#This Row],[Commission]])+Table1_1[[#This Row],[Total sales]]</f>
        <v>191.84</v>
      </c>
    </row>
    <row r="1266" spans="1:9" x14ac:dyDescent="0.3">
      <c r="A1266" s="1">
        <v>43310</v>
      </c>
      <c r="B1266" t="s">
        <v>7</v>
      </c>
      <c r="C1266" t="s">
        <v>16</v>
      </c>
      <c r="D1266">
        <v>10</v>
      </c>
      <c r="E1266">
        <v>80</v>
      </c>
      <c r="F1266">
        <v>0.08</v>
      </c>
      <c r="G1266" t="s">
        <v>28</v>
      </c>
      <c r="H1266">
        <v>800</v>
      </c>
      <c r="I1266">
        <f>(Table1_1[[#This Row],[Total sales]]*Table1_1[[#This Row],[Commission]])+Table1_1[[#This Row],[Total sales]]</f>
        <v>864</v>
      </c>
    </row>
    <row r="1267" spans="1:9" x14ac:dyDescent="0.3">
      <c r="A1267" s="1">
        <v>43310</v>
      </c>
      <c r="B1267" t="s">
        <v>20</v>
      </c>
      <c r="C1267" t="s">
        <v>16</v>
      </c>
      <c r="D1267">
        <v>12</v>
      </c>
      <c r="E1267">
        <v>16</v>
      </c>
      <c r="F1267">
        <v>0.03</v>
      </c>
      <c r="G1267" t="s">
        <v>9</v>
      </c>
      <c r="H1267">
        <v>192</v>
      </c>
      <c r="I1267">
        <f>(Table1_1[[#This Row],[Total sales]]*Table1_1[[#This Row],[Commission]])+Table1_1[[#This Row],[Total sales]]</f>
        <v>197.76</v>
      </c>
    </row>
    <row r="1268" spans="1:9" x14ac:dyDescent="0.3">
      <c r="A1268" s="1">
        <v>43310</v>
      </c>
      <c r="B1268" t="s">
        <v>23</v>
      </c>
      <c r="C1268" t="s">
        <v>8</v>
      </c>
      <c r="D1268">
        <v>8</v>
      </c>
      <c r="E1268">
        <v>150</v>
      </c>
      <c r="F1268">
        <v>0.09</v>
      </c>
      <c r="G1268" t="s">
        <v>12</v>
      </c>
      <c r="H1268">
        <v>1200</v>
      </c>
      <c r="I1268">
        <f>(Table1_1[[#This Row],[Total sales]]*Table1_1[[#This Row],[Commission]])+Table1_1[[#This Row],[Total sales]]</f>
        <v>1308</v>
      </c>
    </row>
    <row r="1269" spans="1:9" x14ac:dyDescent="0.3">
      <c r="A1269" s="1">
        <v>43310</v>
      </c>
      <c r="B1269" t="s">
        <v>10</v>
      </c>
      <c r="C1269" t="s">
        <v>21</v>
      </c>
      <c r="D1269">
        <v>10</v>
      </c>
      <c r="E1269">
        <v>40</v>
      </c>
      <c r="F1269">
        <v>0.03</v>
      </c>
      <c r="G1269" t="s">
        <v>14</v>
      </c>
      <c r="H1269">
        <v>400</v>
      </c>
      <c r="I1269">
        <f>(Table1_1[[#This Row],[Total sales]]*Table1_1[[#This Row],[Commission]])+Table1_1[[#This Row],[Total sales]]</f>
        <v>412</v>
      </c>
    </row>
    <row r="1270" spans="1:9" x14ac:dyDescent="0.3">
      <c r="A1270" s="1">
        <v>43310</v>
      </c>
      <c r="B1270" t="s">
        <v>23</v>
      </c>
      <c r="C1270" t="s">
        <v>8</v>
      </c>
      <c r="D1270">
        <v>7</v>
      </c>
      <c r="E1270">
        <v>150</v>
      </c>
      <c r="F1270">
        <v>0.02</v>
      </c>
      <c r="G1270" t="s">
        <v>15</v>
      </c>
      <c r="H1270">
        <v>1050</v>
      </c>
      <c r="I1270">
        <f>(Table1_1[[#This Row],[Total sales]]*Table1_1[[#This Row],[Commission]])+Table1_1[[#This Row],[Total sales]]</f>
        <v>1071</v>
      </c>
    </row>
    <row r="1271" spans="1:9" x14ac:dyDescent="0.3">
      <c r="A1271" s="1">
        <v>43310</v>
      </c>
      <c r="B1271" t="s">
        <v>20</v>
      </c>
      <c r="C1271" t="s">
        <v>16</v>
      </c>
      <c r="D1271">
        <v>6</v>
      </c>
      <c r="E1271">
        <v>16</v>
      </c>
      <c r="F1271">
        <v>0.01</v>
      </c>
      <c r="G1271" t="s">
        <v>17</v>
      </c>
      <c r="H1271">
        <v>96</v>
      </c>
      <c r="I1271">
        <f>(Table1_1[[#This Row],[Total sales]]*Table1_1[[#This Row],[Commission]])+Table1_1[[#This Row],[Total sales]]</f>
        <v>96.96</v>
      </c>
    </row>
    <row r="1272" spans="1:9" x14ac:dyDescent="0.3">
      <c r="A1272" s="1">
        <v>43310</v>
      </c>
      <c r="B1272" t="s">
        <v>7</v>
      </c>
      <c r="C1272" t="s">
        <v>18</v>
      </c>
      <c r="D1272">
        <v>15</v>
      </c>
      <c r="E1272">
        <v>80</v>
      </c>
      <c r="F1272">
        <v>0.08</v>
      </c>
      <c r="G1272" t="s">
        <v>19</v>
      </c>
      <c r="H1272">
        <v>1200</v>
      </c>
      <c r="I1272">
        <f>(Table1_1[[#This Row],[Total sales]]*Table1_1[[#This Row],[Commission]])+Table1_1[[#This Row],[Total sales]]</f>
        <v>1296</v>
      </c>
    </row>
    <row r="1273" spans="1:9" x14ac:dyDescent="0.3">
      <c r="A1273" s="1">
        <v>43310</v>
      </c>
      <c r="B1273" t="s">
        <v>20</v>
      </c>
      <c r="C1273" t="s">
        <v>21</v>
      </c>
      <c r="D1273">
        <v>13</v>
      </c>
      <c r="E1273">
        <v>16</v>
      </c>
      <c r="F1273">
        <v>7.0000000000000007E-2</v>
      </c>
      <c r="G1273" t="s">
        <v>12</v>
      </c>
      <c r="H1273">
        <v>208</v>
      </c>
      <c r="I1273">
        <f>(Table1_1[[#This Row],[Total sales]]*Table1_1[[#This Row],[Commission]])+Table1_1[[#This Row],[Total sales]]</f>
        <v>222.56</v>
      </c>
    </row>
    <row r="1274" spans="1:9" x14ac:dyDescent="0.3">
      <c r="A1274" s="1">
        <v>43310</v>
      </c>
      <c r="B1274" t="s">
        <v>13</v>
      </c>
      <c r="C1274" t="s">
        <v>18</v>
      </c>
      <c r="D1274">
        <v>19</v>
      </c>
      <c r="E1274">
        <v>230</v>
      </c>
      <c r="F1274">
        <v>0.06</v>
      </c>
      <c r="G1274" t="s">
        <v>14</v>
      </c>
      <c r="H1274">
        <v>4370</v>
      </c>
      <c r="I1274">
        <f>(Table1_1[[#This Row],[Total sales]]*Table1_1[[#This Row],[Commission]])+Table1_1[[#This Row],[Total sales]]</f>
        <v>4632.2</v>
      </c>
    </row>
    <row r="1275" spans="1:9" x14ac:dyDescent="0.3">
      <c r="A1275" s="1">
        <v>43310</v>
      </c>
      <c r="B1275" t="s">
        <v>7</v>
      </c>
      <c r="C1275" t="s">
        <v>18</v>
      </c>
      <c r="D1275">
        <v>21</v>
      </c>
      <c r="E1275">
        <v>80</v>
      </c>
      <c r="F1275">
        <v>0.05</v>
      </c>
      <c r="G1275" t="s">
        <v>15</v>
      </c>
      <c r="H1275">
        <v>1680</v>
      </c>
      <c r="I1275">
        <f>(Table1_1[[#This Row],[Total sales]]*Table1_1[[#This Row],[Commission]])+Table1_1[[#This Row],[Total sales]]</f>
        <v>1764</v>
      </c>
    </row>
    <row r="1276" spans="1:9" x14ac:dyDescent="0.3">
      <c r="A1276" s="1">
        <v>43310</v>
      </c>
      <c r="B1276" t="s">
        <v>7</v>
      </c>
      <c r="C1276" t="s">
        <v>11</v>
      </c>
      <c r="D1276">
        <v>5</v>
      </c>
      <c r="E1276">
        <v>80</v>
      </c>
      <c r="F1276">
        <v>7.0000000000000007E-2</v>
      </c>
      <c r="G1276" t="s">
        <v>17</v>
      </c>
      <c r="H1276">
        <v>400</v>
      </c>
      <c r="I1276">
        <f>(Table1_1[[#This Row],[Total sales]]*Table1_1[[#This Row],[Commission]])+Table1_1[[#This Row],[Total sales]]</f>
        <v>428</v>
      </c>
    </row>
    <row r="1277" spans="1:9" x14ac:dyDescent="0.3">
      <c r="A1277" s="1">
        <v>43310</v>
      </c>
      <c r="B1277" t="s">
        <v>20</v>
      </c>
      <c r="C1277" t="s">
        <v>16</v>
      </c>
      <c r="D1277">
        <v>8</v>
      </c>
      <c r="E1277">
        <v>16</v>
      </c>
      <c r="F1277">
        <v>0.03</v>
      </c>
      <c r="G1277" t="s">
        <v>19</v>
      </c>
      <c r="H1277">
        <v>128</v>
      </c>
      <c r="I1277">
        <f>(Table1_1[[#This Row],[Total sales]]*Table1_1[[#This Row],[Commission]])+Table1_1[[#This Row],[Total sales]]</f>
        <v>131.84</v>
      </c>
    </row>
    <row r="1278" spans="1:9" x14ac:dyDescent="0.3">
      <c r="A1278" s="1">
        <v>43310</v>
      </c>
      <c r="B1278" t="s">
        <v>20</v>
      </c>
      <c r="C1278" t="s">
        <v>16</v>
      </c>
      <c r="D1278">
        <v>12</v>
      </c>
      <c r="E1278">
        <v>16</v>
      </c>
      <c r="F1278">
        <v>0.11</v>
      </c>
      <c r="G1278" t="s">
        <v>22</v>
      </c>
      <c r="H1278">
        <v>192</v>
      </c>
      <c r="I1278">
        <f>(Table1_1[[#This Row],[Total sales]]*Table1_1[[#This Row],[Commission]])+Table1_1[[#This Row],[Total sales]]</f>
        <v>213.12</v>
      </c>
    </row>
    <row r="1279" spans="1:9" x14ac:dyDescent="0.3">
      <c r="A1279" s="1">
        <v>43310</v>
      </c>
      <c r="B1279" t="s">
        <v>7</v>
      </c>
      <c r="C1279" t="s">
        <v>18</v>
      </c>
      <c r="D1279">
        <v>22</v>
      </c>
      <c r="E1279">
        <v>80</v>
      </c>
      <c r="F1279">
        <v>0.03</v>
      </c>
      <c r="G1279" t="s">
        <v>24</v>
      </c>
      <c r="H1279">
        <v>1760</v>
      </c>
      <c r="I1279">
        <f>(Table1_1[[#This Row],[Total sales]]*Table1_1[[#This Row],[Commission]])+Table1_1[[#This Row],[Total sales]]</f>
        <v>1812.8</v>
      </c>
    </row>
    <row r="1280" spans="1:9" x14ac:dyDescent="0.3">
      <c r="A1280" s="1">
        <v>43310</v>
      </c>
      <c r="B1280" t="s">
        <v>10</v>
      </c>
      <c r="C1280" t="s">
        <v>8</v>
      </c>
      <c r="D1280">
        <v>5</v>
      </c>
      <c r="E1280">
        <v>40</v>
      </c>
      <c r="F1280">
        <v>0.09</v>
      </c>
      <c r="G1280" t="s">
        <v>25</v>
      </c>
      <c r="H1280">
        <v>200</v>
      </c>
      <c r="I1280">
        <f>(Table1_1[[#This Row],[Total sales]]*Table1_1[[#This Row],[Commission]])+Table1_1[[#This Row],[Total sales]]</f>
        <v>218</v>
      </c>
    </row>
    <row r="1281" spans="1:9" x14ac:dyDescent="0.3">
      <c r="A1281" s="1">
        <v>43311</v>
      </c>
      <c r="B1281" t="s">
        <v>23</v>
      </c>
      <c r="C1281" t="s">
        <v>11</v>
      </c>
      <c r="D1281">
        <v>23</v>
      </c>
      <c r="E1281">
        <v>150</v>
      </c>
      <c r="F1281">
        <v>0.11</v>
      </c>
      <c r="G1281" t="s">
        <v>26</v>
      </c>
      <c r="H1281">
        <v>3450</v>
      </c>
      <c r="I1281">
        <f>(Table1_1[[#This Row],[Total sales]]*Table1_1[[#This Row],[Commission]])+Table1_1[[#This Row],[Total sales]]</f>
        <v>3829.5</v>
      </c>
    </row>
    <row r="1282" spans="1:9" x14ac:dyDescent="0.3">
      <c r="A1282" s="1">
        <v>43311</v>
      </c>
      <c r="B1282" t="s">
        <v>7</v>
      </c>
      <c r="C1282" t="s">
        <v>8</v>
      </c>
      <c r="D1282">
        <v>16</v>
      </c>
      <c r="E1282">
        <v>80</v>
      </c>
      <c r="F1282">
        <v>0.03</v>
      </c>
      <c r="G1282" t="s">
        <v>27</v>
      </c>
      <c r="H1282">
        <v>1280</v>
      </c>
      <c r="I1282">
        <f>(Table1_1[[#This Row],[Total sales]]*Table1_1[[#This Row],[Commission]])+Table1_1[[#This Row],[Total sales]]</f>
        <v>1318.4</v>
      </c>
    </row>
    <row r="1283" spans="1:9" x14ac:dyDescent="0.3">
      <c r="A1283" s="1">
        <v>43311</v>
      </c>
      <c r="B1283" t="s">
        <v>23</v>
      </c>
      <c r="C1283" t="s">
        <v>21</v>
      </c>
      <c r="D1283">
        <v>15</v>
      </c>
      <c r="E1283">
        <v>150</v>
      </c>
      <c r="F1283">
        <v>7.0000000000000007E-2</v>
      </c>
      <c r="G1283" t="s">
        <v>28</v>
      </c>
      <c r="H1283">
        <v>2250</v>
      </c>
      <c r="I1283">
        <f>(Table1_1[[#This Row],[Total sales]]*Table1_1[[#This Row],[Commission]])+Table1_1[[#This Row],[Total sales]]</f>
        <v>2407.5</v>
      </c>
    </row>
    <row r="1284" spans="1:9" x14ac:dyDescent="0.3">
      <c r="A1284" s="1">
        <v>43311</v>
      </c>
      <c r="B1284" t="s">
        <v>10</v>
      </c>
      <c r="C1284" t="s">
        <v>8</v>
      </c>
      <c r="D1284">
        <v>20</v>
      </c>
      <c r="E1284">
        <v>40</v>
      </c>
      <c r="F1284">
        <v>0.04</v>
      </c>
      <c r="G1284" t="s">
        <v>9</v>
      </c>
      <c r="H1284">
        <v>800</v>
      </c>
      <c r="I1284">
        <f>(Table1_1[[#This Row],[Total sales]]*Table1_1[[#This Row],[Commission]])+Table1_1[[#This Row],[Total sales]]</f>
        <v>832</v>
      </c>
    </row>
    <row r="1285" spans="1:9" x14ac:dyDescent="0.3">
      <c r="A1285" s="1">
        <v>43311</v>
      </c>
      <c r="B1285" t="s">
        <v>13</v>
      </c>
      <c r="C1285" t="s">
        <v>16</v>
      </c>
      <c r="D1285">
        <v>10</v>
      </c>
      <c r="E1285">
        <v>230</v>
      </c>
      <c r="F1285">
        <v>0.02</v>
      </c>
      <c r="G1285" t="s">
        <v>12</v>
      </c>
      <c r="H1285">
        <v>2300</v>
      </c>
      <c r="I1285">
        <f>(Table1_1[[#This Row],[Total sales]]*Table1_1[[#This Row],[Commission]])+Table1_1[[#This Row],[Total sales]]</f>
        <v>2346</v>
      </c>
    </row>
    <row r="1286" spans="1:9" x14ac:dyDescent="0.3">
      <c r="A1286" s="1">
        <v>43311</v>
      </c>
      <c r="B1286" t="s">
        <v>7</v>
      </c>
      <c r="C1286" t="s">
        <v>11</v>
      </c>
      <c r="D1286">
        <v>9</v>
      </c>
      <c r="E1286">
        <v>80</v>
      </c>
      <c r="F1286">
        <v>0.03</v>
      </c>
      <c r="G1286" t="s">
        <v>14</v>
      </c>
      <c r="H1286">
        <v>720</v>
      </c>
      <c r="I1286">
        <f>(Table1_1[[#This Row],[Total sales]]*Table1_1[[#This Row],[Commission]])+Table1_1[[#This Row],[Total sales]]</f>
        <v>741.6</v>
      </c>
    </row>
    <row r="1287" spans="1:9" x14ac:dyDescent="0.3">
      <c r="A1287" s="1">
        <v>43311</v>
      </c>
      <c r="B1287" t="s">
        <v>13</v>
      </c>
      <c r="C1287" t="s">
        <v>8</v>
      </c>
      <c r="D1287">
        <v>16</v>
      </c>
      <c r="E1287">
        <v>230</v>
      </c>
      <c r="F1287">
        <v>7.0000000000000007E-2</v>
      </c>
      <c r="G1287" t="s">
        <v>15</v>
      </c>
      <c r="H1287">
        <v>3680</v>
      </c>
      <c r="I1287">
        <f>(Table1_1[[#This Row],[Total sales]]*Table1_1[[#This Row],[Commission]])+Table1_1[[#This Row],[Total sales]]</f>
        <v>3937.6</v>
      </c>
    </row>
    <row r="1288" spans="1:9" x14ac:dyDescent="0.3">
      <c r="A1288" s="1">
        <v>43311</v>
      </c>
      <c r="B1288" t="s">
        <v>7</v>
      </c>
      <c r="C1288" t="s">
        <v>11</v>
      </c>
      <c r="D1288">
        <v>21</v>
      </c>
      <c r="E1288">
        <v>80</v>
      </c>
      <c r="F1288">
        <v>0.04</v>
      </c>
      <c r="G1288" t="s">
        <v>17</v>
      </c>
      <c r="H1288">
        <v>1680</v>
      </c>
      <c r="I1288">
        <f>(Table1_1[[#This Row],[Total sales]]*Table1_1[[#This Row],[Commission]])+Table1_1[[#This Row],[Total sales]]</f>
        <v>1747.2</v>
      </c>
    </row>
    <row r="1289" spans="1:9" x14ac:dyDescent="0.3">
      <c r="A1289" s="1">
        <v>43311</v>
      </c>
      <c r="B1289" t="s">
        <v>7</v>
      </c>
      <c r="C1289" t="s">
        <v>11</v>
      </c>
      <c r="D1289">
        <v>9</v>
      </c>
      <c r="E1289">
        <v>80</v>
      </c>
      <c r="F1289">
        <v>0.03</v>
      </c>
      <c r="G1289" t="s">
        <v>19</v>
      </c>
      <c r="H1289">
        <v>720</v>
      </c>
      <c r="I1289">
        <f>(Table1_1[[#This Row],[Total sales]]*Table1_1[[#This Row],[Commission]])+Table1_1[[#This Row],[Total sales]]</f>
        <v>741.6</v>
      </c>
    </row>
    <row r="1290" spans="1:9" x14ac:dyDescent="0.3">
      <c r="A1290" s="1">
        <v>43311</v>
      </c>
      <c r="B1290" t="s">
        <v>10</v>
      </c>
      <c r="C1290" t="s">
        <v>11</v>
      </c>
      <c r="D1290">
        <v>4</v>
      </c>
      <c r="E1290">
        <v>40</v>
      </c>
      <c r="F1290">
        <v>0.12</v>
      </c>
      <c r="G1290" t="s">
        <v>12</v>
      </c>
      <c r="H1290">
        <v>160</v>
      </c>
      <c r="I1290">
        <f>(Table1_1[[#This Row],[Total sales]]*Table1_1[[#This Row],[Commission]])+Table1_1[[#This Row],[Total sales]]</f>
        <v>179.2</v>
      </c>
    </row>
    <row r="1291" spans="1:9" x14ac:dyDescent="0.3">
      <c r="A1291" s="1">
        <v>43311</v>
      </c>
      <c r="B1291" t="s">
        <v>13</v>
      </c>
      <c r="C1291" t="s">
        <v>16</v>
      </c>
      <c r="D1291">
        <v>5</v>
      </c>
      <c r="E1291">
        <v>230</v>
      </c>
      <c r="F1291">
        <v>0.01</v>
      </c>
      <c r="G1291" t="s">
        <v>14</v>
      </c>
      <c r="H1291">
        <v>1150</v>
      </c>
      <c r="I1291">
        <f>(Table1_1[[#This Row],[Total sales]]*Table1_1[[#This Row],[Commission]])+Table1_1[[#This Row],[Total sales]]</f>
        <v>1161.5</v>
      </c>
    </row>
    <row r="1292" spans="1:9" x14ac:dyDescent="0.3">
      <c r="A1292" s="1">
        <v>43311</v>
      </c>
      <c r="B1292" t="s">
        <v>20</v>
      </c>
      <c r="C1292" t="s">
        <v>8</v>
      </c>
      <c r="D1292">
        <v>18</v>
      </c>
      <c r="E1292">
        <v>16</v>
      </c>
      <c r="F1292">
        <v>0.05</v>
      </c>
      <c r="G1292" t="s">
        <v>15</v>
      </c>
      <c r="H1292">
        <v>288</v>
      </c>
      <c r="I1292">
        <f>(Table1_1[[#This Row],[Total sales]]*Table1_1[[#This Row],[Commission]])+Table1_1[[#This Row],[Total sales]]</f>
        <v>302.39999999999998</v>
      </c>
    </row>
    <row r="1293" spans="1:9" x14ac:dyDescent="0.3">
      <c r="A1293" s="1">
        <v>43312</v>
      </c>
      <c r="B1293" t="s">
        <v>7</v>
      </c>
      <c r="C1293" t="s">
        <v>16</v>
      </c>
      <c r="D1293">
        <v>6</v>
      </c>
      <c r="E1293">
        <v>80</v>
      </c>
      <c r="F1293">
        <v>0.01</v>
      </c>
      <c r="G1293" t="s">
        <v>17</v>
      </c>
      <c r="H1293">
        <v>480</v>
      </c>
      <c r="I1293">
        <f>(Table1_1[[#This Row],[Total sales]]*Table1_1[[#This Row],[Commission]])+Table1_1[[#This Row],[Total sales]]</f>
        <v>484.8</v>
      </c>
    </row>
    <row r="1294" spans="1:9" x14ac:dyDescent="0.3">
      <c r="A1294" s="1">
        <v>43312</v>
      </c>
      <c r="B1294" t="s">
        <v>23</v>
      </c>
      <c r="C1294" t="s">
        <v>21</v>
      </c>
      <c r="D1294">
        <v>4</v>
      </c>
      <c r="E1294">
        <v>150</v>
      </c>
      <c r="F1294">
        <v>0.05</v>
      </c>
      <c r="G1294" t="s">
        <v>19</v>
      </c>
      <c r="H1294">
        <v>600</v>
      </c>
      <c r="I1294">
        <f>(Table1_1[[#This Row],[Total sales]]*Table1_1[[#This Row],[Commission]])+Table1_1[[#This Row],[Total sales]]</f>
        <v>630</v>
      </c>
    </row>
    <row r="1295" spans="1:9" x14ac:dyDescent="0.3">
      <c r="A1295" s="1">
        <v>43312</v>
      </c>
      <c r="B1295" t="s">
        <v>13</v>
      </c>
      <c r="C1295" t="s">
        <v>21</v>
      </c>
      <c r="D1295">
        <v>21</v>
      </c>
      <c r="E1295">
        <v>230</v>
      </c>
      <c r="F1295">
        <v>0.05</v>
      </c>
      <c r="G1295" t="s">
        <v>22</v>
      </c>
      <c r="H1295">
        <v>4830</v>
      </c>
      <c r="I1295">
        <f>(Table1_1[[#This Row],[Total sales]]*Table1_1[[#This Row],[Commission]])+Table1_1[[#This Row],[Total sales]]</f>
        <v>5071.5</v>
      </c>
    </row>
    <row r="1296" spans="1:9" x14ac:dyDescent="0.3">
      <c r="A1296" s="1">
        <v>43312</v>
      </c>
      <c r="B1296" t="s">
        <v>23</v>
      </c>
      <c r="C1296" t="s">
        <v>8</v>
      </c>
      <c r="D1296">
        <v>4</v>
      </c>
      <c r="E1296">
        <v>150</v>
      </c>
      <c r="F1296">
        <v>0.06</v>
      </c>
      <c r="G1296" t="s">
        <v>24</v>
      </c>
      <c r="H1296">
        <v>600</v>
      </c>
      <c r="I1296">
        <f>(Table1_1[[#This Row],[Total sales]]*Table1_1[[#This Row],[Commission]])+Table1_1[[#This Row],[Total sales]]</f>
        <v>636</v>
      </c>
    </row>
    <row r="1297" spans="1:9" x14ac:dyDescent="0.3">
      <c r="A1297" s="1">
        <v>43312</v>
      </c>
      <c r="B1297" t="s">
        <v>7</v>
      </c>
      <c r="C1297" t="s">
        <v>11</v>
      </c>
      <c r="D1297">
        <v>2</v>
      </c>
      <c r="E1297">
        <v>80</v>
      </c>
      <c r="F1297">
        <v>0.04</v>
      </c>
      <c r="G1297" t="s">
        <v>25</v>
      </c>
      <c r="H1297">
        <v>160</v>
      </c>
      <c r="I1297">
        <f>(Table1_1[[#This Row],[Total sales]]*Table1_1[[#This Row],[Commission]])+Table1_1[[#This Row],[Total sales]]</f>
        <v>166.4</v>
      </c>
    </row>
    <row r="1298" spans="1:9" x14ac:dyDescent="0.3">
      <c r="A1298" s="1">
        <v>43312</v>
      </c>
      <c r="B1298" t="s">
        <v>20</v>
      </c>
      <c r="C1298" t="s">
        <v>11</v>
      </c>
      <c r="D1298">
        <v>5</v>
      </c>
      <c r="E1298">
        <v>16</v>
      </c>
      <c r="F1298">
        <v>0.11</v>
      </c>
      <c r="G1298" t="s">
        <v>26</v>
      </c>
      <c r="H1298">
        <v>80</v>
      </c>
      <c r="I1298">
        <f>(Table1_1[[#This Row],[Total sales]]*Table1_1[[#This Row],[Commission]])+Table1_1[[#This Row],[Total sales]]</f>
        <v>88.8</v>
      </c>
    </row>
    <row r="1299" spans="1:9" x14ac:dyDescent="0.3">
      <c r="A1299" s="1">
        <v>43312</v>
      </c>
      <c r="B1299" t="s">
        <v>23</v>
      </c>
      <c r="C1299" t="s">
        <v>21</v>
      </c>
      <c r="D1299">
        <v>23</v>
      </c>
      <c r="E1299">
        <v>150</v>
      </c>
      <c r="F1299">
        <v>0.08</v>
      </c>
      <c r="G1299" t="s">
        <v>27</v>
      </c>
      <c r="H1299">
        <v>3450</v>
      </c>
      <c r="I1299">
        <f>(Table1_1[[#This Row],[Total sales]]*Table1_1[[#This Row],[Commission]])+Table1_1[[#This Row],[Total sales]]</f>
        <v>3726</v>
      </c>
    </row>
    <row r="1300" spans="1:9" x14ac:dyDescent="0.3">
      <c r="A1300" s="1">
        <v>43312</v>
      </c>
      <c r="B1300" t="s">
        <v>7</v>
      </c>
      <c r="C1300" t="s">
        <v>11</v>
      </c>
      <c r="D1300">
        <v>3</v>
      </c>
      <c r="E1300">
        <v>80</v>
      </c>
      <c r="F1300">
        <v>0.02</v>
      </c>
      <c r="G1300" t="s">
        <v>28</v>
      </c>
      <c r="H1300">
        <v>240</v>
      </c>
      <c r="I1300">
        <f>(Table1_1[[#This Row],[Total sales]]*Table1_1[[#This Row],[Commission]])+Table1_1[[#This Row],[Total sales]]</f>
        <v>244.8</v>
      </c>
    </row>
    <row r="1301" spans="1:9" x14ac:dyDescent="0.3">
      <c r="A1301" s="1">
        <v>43312</v>
      </c>
      <c r="B1301" t="s">
        <v>13</v>
      </c>
      <c r="C1301" t="s">
        <v>21</v>
      </c>
      <c r="D1301">
        <v>17</v>
      </c>
      <c r="E1301">
        <v>230</v>
      </c>
      <c r="F1301">
        <v>0.11</v>
      </c>
      <c r="G1301" t="s">
        <v>9</v>
      </c>
      <c r="H1301">
        <v>3910</v>
      </c>
      <c r="I1301">
        <f>(Table1_1[[#This Row],[Total sales]]*Table1_1[[#This Row],[Commission]])+Table1_1[[#This Row],[Total sales]]</f>
        <v>4340.1000000000004</v>
      </c>
    </row>
    <row r="1302" spans="1:9" x14ac:dyDescent="0.3">
      <c r="A1302" s="1">
        <v>43312</v>
      </c>
      <c r="B1302" t="s">
        <v>10</v>
      </c>
      <c r="C1302" t="s">
        <v>16</v>
      </c>
      <c r="D1302">
        <v>11</v>
      </c>
      <c r="E1302">
        <v>40</v>
      </c>
      <c r="F1302">
        <v>0.05</v>
      </c>
      <c r="G1302" t="s">
        <v>12</v>
      </c>
      <c r="H1302">
        <v>440</v>
      </c>
      <c r="I1302">
        <f>(Table1_1[[#This Row],[Total sales]]*Table1_1[[#This Row],[Commission]])+Table1_1[[#This Row],[Total sales]]</f>
        <v>462</v>
      </c>
    </row>
    <row r="1303" spans="1:9" x14ac:dyDescent="0.3">
      <c r="A1303" s="1">
        <v>43312</v>
      </c>
      <c r="B1303" t="s">
        <v>13</v>
      </c>
      <c r="C1303" t="s">
        <v>8</v>
      </c>
      <c r="D1303">
        <v>7</v>
      </c>
      <c r="E1303">
        <v>230</v>
      </c>
      <c r="F1303">
        <v>0.02</v>
      </c>
      <c r="G1303" t="s">
        <v>14</v>
      </c>
      <c r="H1303">
        <v>1610</v>
      </c>
      <c r="I1303">
        <f>(Table1_1[[#This Row],[Total sales]]*Table1_1[[#This Row],[Commission]])+Table1_1[[#This Row],[Total sales]]</f>
        <v>1642.2</v>
      </c>
    </row>
    <row r="1304" spans="1:9" x14ac:dyDescent="0.3">
      <c r="A1304" s="1">
        <v>43312</v>
      </c>
      <c r="B1304" t="s">
        <v>10</v>
      </c>
      <c r="C1304" t="s">
        <v>16</v>
      </c>
      <c r="D1304">
        <v>13</v>
      </c>
      <c r="E1304">
        <v>40</v>
      </c>
      <c r="F1304">
        <v>0.02</v>
      </c>
      <c r="G1304" t="s">
        <v>15</v>
      </c>
      <c r="H1304">
        <v>520</v>
      </c>
      <c r="I1304">
        <f>(Table1_1[[#This Row],[Total sales]]*Table1_1[[#This Row],[Commission]])+Table1_1[[#This Row],[Total sales]]</f>
        <v>530.4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38C00-5D1A-4644-933C-5F8BA3777FFF}">
  <dimension ref="A2:C22"/>
  <sheetViews>
    <sheetView workbookViewId="0">
      <selection activeCell="M18" sqref="M18"/>
    </sheetView>
  </sheetViews>
  <sheetFormatPr defaultRowHeight="14.4" x14ac:dyDescent="0.3"/>
  <sheetData>
    <row r="2" spans="1:3" x14ac:dyDescent="0.3">
      <c r="A2" s="4" t="s">
        <v>30</v>
      </c>
      <c r="B2" s="4"/>
    </row>
    <row r="4" spans="1:3" x14ac:dyDescent="0.3">
      <c r="A4" s="4" t="s">
        <v>31</v>
      </c>
      <c r="B4" s="4"/>
      <c r="C4">
        <f>SUM(Table1_1[Total sales])</f>
        <v>1588586</v>
      </c>
    </row>
    <row r="5" spans="1:3" x14ac:dyDescent="0.3">
      <c r="A5" s="4" t="s">
        <v>32</v>
      </c>
      <c r="B5" s="4"/>
      <c r="C5">
        <f>SUM(Table1_1[Total Comission])</f>
        <v>1688946.8400000003</v>
      </c>
    </row>
    <row r="6" spans="1:3" x14ac:dyDescent="0.3">
      <c r="A6" s="4" t="s">
        <v>33</v>
      </c>
      <c r="B6" s="4"/>
      <c r="C6">
        <f>SUM(Table1_1[Quantity])</f>
        <v>16665</v>
      </c>
    </row>
    <row r="7" spans="1:3" x14ac:dyDescent="0.3">
      <c r="A7" s="4" t="s">
        <v>37</v>
      </c>
      <c r="B7" s="4"/>
      <c r="C7">
        <f>COUNTA(Table1_1[Sales Rep])</f>
        <v>1303</v>
      </c>
    </row>
    <row r="12" spans="1:3" x14ac:dyDescent="0.3">
      <c r="A12" t="s">
        <v>38</v>
      </c>
    </row>
    <row r="13" spans="1:3" x14ac:dyDescent="0.3">
      <c r="A13" t="s">
        <v>39</v>
      </c>
    </row>
    <row r="14" spans="1:3" x14ac:dyDescent="0.3">
      <c r="A14" t="s">
        <v>40</v>
      </c>
    </row>
    <row r="18" spans="1:1" x14ac:dyDescent="0.3">
      <c r="A18" t="s">
        <v>41</v>
      </c>
    </row>
    <row r="19" spans="1:1" x14ac:dyDescent="0.3">
      <c r="A19" t="s">
        <v>42</v>
      </c>
    </row>
    <row r="20" spans="1:1" x14ac:dyDescent="0.3">
      <c r="A20" t="s">
        <v>43</v>
      </c>
    </row>
    <row r="21" spans="1:1" x14ac:dyDescent="0.3">
      <c r="A21" t="s">
        <v>44</v>
      </c>
    </row>
    <row r="22" spans="1:1" x14ac:dyDescent="0.3">
      <c r="A22" t="s">
        <v>45</v>
      </c>
    </row>
  </sheetData>
  <mergeCells count="5">
    <mergeCell ref="A2:B2"/>
    <mergeCell ref="A7:B7"/>
    <mergeCell ref="A6:B6"/>
    <mergeCell ref="A5:B5"/>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CF77F-8F0D-46EA-8E24-787A882AF4BD}">
  <dimension ref="A2:B93"/>
  <sheetViews>
    <sheetView topLeftCell="A65" workbookViewId="0">
      <selection activeCell="P74" sqref="P74"/>
    </sheetView>
  </sheetViews>
  <sheetFormatPr defaultRowHeight="14.4" x14ac:dyDescent="0.3"/>
  <cols>
    <col min="1" max="1" width="12.44140625" bestFit="1" customWidth="1"/>
    <col min="2" max="2" width="12" bestFit="1" customWidth="1"/>
  </cols>
  <sheetData>
    <row r="2" spans="1:2" x14ac:dyDescent="0.3">
      <c r="A2" s="2" t="s">
        <v>34</v>
      </c>
      <c r="B2" t="s">
        <v>36</v>
      </c>
    </row>
    <row r="3" spans="1:2" x14ac:dyDescent="0.3">
      <c r="A3" s="3">
        <v>43282</v>
      </c>
      <c r="B3" s="7">
        <v>39</v>
      </c>
    </row>
    <row r="4" spans="1:2" x14ac:dyDescent="0.3">
      <c r="A4" s="3">
        <v>43283</v>
      </c>
      <c r="B4" s="7">
        <v>33</v>
      </c>
    </row>
    <row r="5" spans="1:2" x14ac:dyDescent="0.3">
      <c r="A5" s="3">
        <v>43284</v>
      </c>
      <c r="B5" s="7">
        <v>36</v>
      </c>
    </row>
    <row r="6" spans="1:2" x14ac:dyDescent="0.3">
      <c r="A6" s="3">
        <v>43285</v>
      </c>
      <c r="B6" s="7">
        <v>35</v>
      </c>
    </row>
    <row r="7" spans="1:2" x14ac:dyDescent="0.3">
      <c r="A7" s="3">
        <v>43286</v>
      </c>
      <c r="B7" s="7">
        <v>42</v>
      </c>
    </row>
    <row r="8" spans="1:2" x14ac:dyDescent="0.3">
      <c r="A8" s="3">
        <v>43287</v>
      </c>
      <c r="B8" s="7">
        <v>47</v>
      </c>
    </row>
    <row r="9" spans="1:2" x14ac:dyDescent="0.3">
      <c r="A9" s="3">
        <v>43288</v>
      </c>
      <c r="B9" s="7">
        <v>53</v>
      </c>
    </row>
    <row r="10" spans="1:2" x14ac:dyDescent="0.3">
      <c r="A10" s="3">
        <v>43289</v>
      </c>
      <c r="B10" s="7">
        <v>51</v>
      </c>
    </row>
    <row r="11" spans="1:2" x14ac:dyDescent="0.3">
      <c r="A11" s="3">
        <v>43290</v>
      </c>
      <c r="B11" s="7">
        <v>38</v>
      </c>
    </row>
    <row r="12" spans="1:2" x14ac:dyDescent="0.3">
      <c r="A12" s="3">
        <v>43291</v>
      </c>
      <c r="B12" s="7">
        <v>50</v>
      </c>
    </row>
    <row r="13" spans="1:2" x14ac:dyDescent="0.3">
      <c r="A13" s="3">
        <v>43292</v>
      </c>
      <c r="B13" s="7">
        <v>43</v>
      </c>
    </row>
    <row r="14" spans="1:2" x14ac:dyDescent="0.3">
      <c r="A14" s="3">
        <v>43293</v>
      </c>
      <c r="B14" s="7">
        <v>30</v>
      </c>
    </row>
    <row r="15" spans="1:2" x14ac:dyDescent="0.3">
      <c r="A15" s="3">
        <v>43294</v>
      </c>
      <c r="B15" s="7">
        <v>48</v>
      </c>
    </row>
    <row r="16" spans="1:2" x14ac:dyDescent="0.3">
      <c r="A16" s="3">
        <v>43295</v>
      </c>
      <c r="B16" s="7">
        <v>46</v>
      </c>
    </row>
    <row r="17" spans="1:2" x14ac:dyDescent="0.3">
      <c r="A17" s="3">
        <v>43296</v>
      </c>
      <c r="B17" s="7">
        <v>45</v>
      </c>
    </row>
    <row r="18" spans="1:2" x14ac:dyDescent="0.3">
      <c r="A18" s="3">
        <v>43297</v>
      </c>
      <c r="B18" s="7">
        <v>48</v>
      </c>
    </row>
    <row r="19" spans="1:2" x14ac:dyDescent="0.3">
      <c r="A19" s="3">
        <v>43298</v>
      </c>
      <c r="B19" s="7">
        <v>48</v>
      </c>
    </row>
    <row r="20" spans="1:2" x14ac:dyDescent="0.3">
      <c r="A20" s="3">
        <v>43299</v>
      </c>
      <c r="B20" s="7">
        <v>41</v>
      </c>
    </row>
    <row r="21" spans="1:2" x14ac:dyDescent="0.3">
      <c r="A21" s="3">
        <v>43300</v>
      </c>
      <c r="B21" s="7">
        <v>44</v>
      </c>
    </row>
    <row r="22" spans="1:2" x14ac:dyDescent="0.3">
      <c r="A22" s="3">
        <v>43301</v>
      </c>
      <c r="B22" s="7">
        <v>34</v>
      </c>
    </row>
    <row r="23" spans="1:2" x14ac:dyDescent="0.3">
      <c r="A23" s="3">
        <v>43302</v>
      </c>
      <c r="B23" s="7">
        <v>48</v>
      </c>
    </row>
    <row r="24" spans="1:2" x14ac:dyDescent="0.3">
      <c r="A24" s="3">
        <v>43303</v>
      </c>
      <c r="B24" s="7">
        <v>38</v>
      </c>
    </row>
    <row r="25" spans="1:2" x14ac:dyDescent="0.3">
      <c r="A25" s="3">
        <v>43304</v>
      </c>
      <c r="B25" s="7">
        <v>39</v>
      </c>
    </row>
    <row r="26" spans="1:2" x14ac:dyDescent="0.3">
      <c r="A26" s="3">
        <v>43305</v>
      </c>
      <c r="B26" s="7">
        <v>46</v>
      </c>
    </row>
    <row r="27" spans="1:2" x14ac:dyDescent="0.3">
      <c r="A27" s="3">
        <v>43306</v>
      </c>
      <c r="B27" s="7">
        <v>49</v>
      </c>
    </row>
    <row r="28" spans="1:2" x14ac:dyDescent="0.3">
      <c r="A28" s="3">
        <v>43307</v>
      </c>
      <c r="B28" s="7">
        <v>47</v>
      </c>
    </row>
    <row r="29" spans="1:2" x14ac:dyDescent="0.3">
      <c r="A29" s="3">
        <v>43308</v>
      </c>
      <c r="B29" s="7">
        <v>52</v>
      </c>
    </row>
    <row r="30" spans="1:2" x14ac:dyDescent="0.3">
      <c r="A30" s="3">
        <v>43309</v>
      </c>
      <c r="B30" s="7">
        <v>37</v>
      </c>
    </row>
    <row r="31" spans="1:2" x14ac:dyDescent="0.3">
      <c r="A31" s="3">
        <v>43310</v>
      </c>
      <c r="B31" s="7">
        <v>42</v>
      </c>
    </row>
    <row r="32" spans="1:2" x14ac:dyDescent="0.3">
      <c r="A32" s="3">
        <v>43311</v>
      </c>
      <c r="B32" s="7">
        <v>28</v>
      </c>
    </row>
    <row r="33" spans="1:2" x14ac:dyDescent="0.3">
      <c r="A33" s="3">
        <v>43312</v>
      </c>
      <c r="B33" s="7">
        <v>26</v>
      </c>
    </row>
    <row r="34" spans="1:2" x14ac:dyDescent="0.3">
      <c r="A34" s="3" t="s">
        <v>35</v>
      </c>
      <c r="B34" s="7">
        <v>1303</v>
      </c>
    </row>
    <row r="39" spans="1:2" x14ac:dyDescent="0.3">
      <c r="A39" s="2" t="s">
        <v>34</v>
      </c>
      <c r="B39" t="s">
        <v>47</v>
      </c>
    </row>
    <row r="40" spans="1:2" x14ac:dyDescent="0.3">
      <c r="A40" s="8" t="s">
        <v>19</v>
      </c>
      <c r="B40" s="7">
        <v>1276</v>
      </c>
    </row>
    <row r="41" spans="1:2" x14ac:dyDescent="0.3">
      <c r="A41" s="8" t="s">
        <v>15</v>
      </c>
      <c r="B41" s="7">
        <v>1433</v>
      </c>
    </row>
    <row r="42" spans="1:2" x14ac:dyDescent="0.3">
      <c r="A42" s="8" t="s">
        <v>22</v>
      </c>
      <c r="B42" s="7">
        <v>1577</v>
      </c>
    </row>
    <row r="43" spans="1:2" x14ac:dyDescent="0.3">
      <c r="A43" s="8" t="s">
        <v>25</v>
      </c>
      <c r="B43" s="7">
        <v>2049</v>
      </c>
    </row>
    <row r="44" spans="1:2" x14ac:dyDescent="0.3">
      <c r="A44" s="8" t="s">
        <v>27</v>
      </c>
      <c r="B44" s="7">
        <v>887</v>
      </c>
    </row>
    <row r="45" spans="1:2" x14ac:dyDescent="0.3">
      <c r="A45" s="8" t="s">
        <v>26</v>
      </c>
      <c r="B45" s="7">
        <v>1535</v>
      </c>
    </row>
    <row r="46" spans="1:2" x14ac:dyDescent="0.3">
      <c r="A46" s="8" t="s">
        <v>24</v>
      </c>
      <c r="B46" s="7">
        <v>1461</v>
      </c>
    </row>
    <row r="47" spans="1:2" x14ac:dyDescent="0.3">
      <c r="A47" s="8" t="s">
        <v>28</v>
      </c>
      <c r="B47" s="7">
        <v>865</v>
      </c>
    </row>
    <row r="48" spans="1:2" x14ac:dyDescent="0.3">
      <c r="A48" s="8" t="s">
        <v>14</v>
      </c>
      <c r="B48" s="7">
        <v>2025</v>
      </c>
    </row>
    <row r="49" spans="1:2" x14ac:dyDescent="0.3">
      <c r="A49" s="8" t="s">
        <v>9</v>
      </c>
      <c r="B49" s="7">
        <v>953</v>
      </c>
    </row>
    <row r="50" spans="1:2" x14ac:dyDescent="0.3">
      <c r="A50" s="8" t="s">
        <v>12</v>
      </c>
      <c r="B50" s="7">
        <v>1253</v>
      </c>
    </row>
    <row r="51" spans="1:2" x14ac:dyDescent="0.3">
      <c r="A51" s="8" t="s">
        <v>17</v>
      </c>
      <c r="B51" s="7">
        <v>1351</v>
      </c>
    </row>
    <row r="52" spans="1:2" x14ac:dyDescent="0.3">
      <c r="A52" s="8" t="s">
        <v>35</v>
      </c>
      <c r="B52" s="7">
        <v>16665</v>
      </c>
    </row>
    <row r="56" spans="1:2" x14ac:dyDescent="0.3">
      <c r="A56" s="2" t="s">
        <v>34</v>
      </c>
      <c r="B56" t="s">
        <v>48</v>
      </c>
    </row>
    <row r="57" spans="1:2" x14ac:dyDescent="0.3">
      <c r="A57" s="8" t="s">
        <v>19</v>
      </c>
      <c r="B57" s="7">
        <v>120408</v>
      </c>
    </row>
    <row r="58" spans="1:2" x14ac:dyDescent="0.3">
      <c r="A58" s="8" t="s">
        <v>15</v>
      </c>
      <c r="B58" s="7">
        <v>128512</v>
      </c>
    </row>
    <row r="59" spans="1:2" x14ac:dyDescent="0.3">
      <c r="A59" s="8" t="s">
        <v>22</v>
      </c>
      <c r="B59" s="7">
        <v>157020</v>
      </c>
    </row>
    <row r="60" spans="1:2" x14ac:dyDescent="0.3">
      <c r="A60" s="8" t="s">
        <v>25</v>
      </c>
      <c r="B60" s="7">
        <v>197984</v>
      </c>
    </row>
    <row r="61" spans="1:2" x14ac:dyDescent="0.3">
      <c r="A61" s="8" t="s">
        <v>27</v>
      </c>
      <c r="B61" s="7">
        <v>94774</v>
      </c>
    </row>
    <row r="62" spans="1:2" x14ac:dyDescent="0.3">
      <c r="A62" s="8" t="s">
        <v>26</v>
      </c>
      <c r="B62" s="7">
        <v>130490</v>
      </c>
    </row>
    <row r="63" spans="1:2" x14ac:dyDescent="0.3">
      <c r="A63" s="8" t="s">
        <v>24</v>
      </c>
      <c r="B63" s="7">
        <v>145128</v>
      </c>
    </row>
    <row r="64" spans="1:2" x14ac:dyDescent="0.3">
      <c r="A64" s="8" t="s">
        <v>28</v>
      </c>
      <c r="B64" s="7">
        <v>78416</v>
      </c>
    </row>
    <row r="65" spans="1:2" x14ac:dyDescent="0.3">
      <c r="A65" s="8" t="s">
        <v>14</v>
      </c>
      <c r="B65" s="7">
        <v>192866</v>
      </c>
    </row>
    <row r="66" spans="1:2" x14ac:dyDescent="0.3">
      <c r="A66" s="8" t="s">
        <v>9</v>
      </c>
      <c r="B66" s="7">
        <v>80594</v>
      </c>
    </row>
    <row r="67" spans="1:2" x14ac:dyDescent="0.3">
      <c r="A67" s="8" t="s">
        <v>12</v>
      </c>
      <c r="B67" s="7">
        <v>124640</v>
      </c>
    </row>
    <row r="68" spans="1:2" x14ac:dyDescent="0.3">
      <c r="A68" s="8" t="s">
        <v>17</v>
      </c>
      <c r="B68" s="7">
        <v>137754</v>
      </c>
    </row>
    <row r="69" spans="1:2" x14ac:dyDescent="0.3">
      <c r="A69" s="8" t="s">
        <v>35</v>
      </c>
      <c r="B69" s="7">
        <v>1588586</v>
      </c>
    </row>
    <row r="73" spans="1:2" x14ac:dyDescent="0.3">
      <c r="A73" s="2" t="s">
        <v>34</v>
      </c>
      <c r="B73" t="s">
        <v>47</v>
      </c>
    </row>
    <row r="74" spans="1:2" x14ac:dyDescent="0.3">
      <c r="A74" s="8" t="s">
        <v>21</v>
      </c>
      <c r="B74" s="7">
        <v>3594</v>
      </c>
    </row>
    <row r="75" spans="1:2" x14ac:dyDescent="0.3">
      <c r="A75" s="8" t="s">
        <v>8</v>
      </c>
      <c r="B75" s="7">
        <v>3603</v>
      </c>
    </row>
    <row r="76" spans="1:2" x14ac:dyDescent="0.3">
      <c r="A76" s="8" t="s">
        <v>16</v>
      </c>
      <c r="B76" s="7">
        <v>2921</v>
      </c>
    </row>
    <row r="77" spans="1:2" x14ac:dyDescent="0.3">
      <c r="A77" s="8" t="s">
        <v>11</v>
      </c>
      <c r="B77" s="7">
        <v>3058</v>
      </c>
    </row>
    <row r="78" spans="1:2" x14ac:dyDescent="0.3">
      <c r="A78" s="8" t="s">
        <v>18</v>
      </c>
      <c r="B78" s="7">
        <v>3489</v>
      </c>
    </row>
    <row r="79" spans="1:2" x14ac:dyDescent="0.3">
      <c r="A79" s="8" t="s">
        <v>35</v>
      </c>
      <c r="B79" s="7">
        <v>16665</v>
      </c>
    </row>
    <row r="87" spans="1:2" x14ac:dyDescent="0.3">
      <c r="A87" s="2" t="s">
        <v>34</v>
      </c>
      <c r="B87" t="s">
        <v>49</v>
      </c>
    </row>
    <row r="88" spans="1:2" x14ac:dyDescent="0.3">
      <c r="A88" s="8" t="s">
        <v>21</v>
      </c>
      <c r="B88" s="7">
        <v>17.429999999999986</v>
      </c>
    </row>
    <row r="89" spans="1:2" x14ac:dyDescent="0.3">
      <c r="A89" s="8" t="s">
        <v>8</v>
      </c>
      <c r="B89" s="7">
        <v>17.199999999999967</v>
      </c>
    </row>
    <row r="90" spans="1:2" x14ac:dyDescent="0.3">
      <c r="A90" s="8" t="s">
        <v>16</v>
      </c>
      <c r="B90" s="7">
        <v>14.379999999999969</v>
      </c>
    </row>
    <row r="91" spans="1:2" x14ac:dyDescent="0.3">
      <c r="A91" s="8" t="s">
        <v>11</v>
      </c>
      <c r="B91" s="7">
        <v>14.939999999999966</v>
      </c>
    </row>
    <row r="92" spans="1:2" x14ac:dyDescent="0.3">
      <c r="A92" s="8" t="s">
        <v>18</v>
      </c>
      <c r="B92" s="7">
        <v>16.049999999999979</v>
      </c>
    </row>
    <row r="93" spans="1:2" x14ac:dyDescent="0.3">
      <c r="A93" s="8" t="s">
        <v>35</v>
      </c>
      <c r="B93" s="7">
        <v>79.999999999999872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EA046-D2BF-4EE5-ACC1-10A3F2C80696}">
  <dimension ref="A1:Y32"/>
  <sheetViews>
    <sheetView tabSelected="1" topLeftCell="A3" workbookViewId="0">
      <selection activeCell="U3" sqref="U3"/>
    </sheetView>
  </sheetViews>
  <sheetFormatPr defaultRowHeight="14.4" x14ac:dyDescent="0.3"/>
  <cols>
    <col min="11" max="11" width="6.77734375" customWidth="1"/>
  </cols>
  <sheetData>
    <row r="1" spans="1:25" ht="14.4" customHeight="1" x14ac:dyDescent="0.3">
      <c r="A1" s="5"/>
      <c r="B1" s="5"/>
      <c r="C1" s="5"/>
      <c r="D1" s="5"/>
      <c r="E1" s="5"/>
      <c r="F1" s="5"/>
      <c r="G1" s="5"/>
      <c r="H1" s="5"/>
      <c r="I1" s="5"/>
      <c r="J1" s="9" t="s">
        <v>50</v>
      </c>
      <c r="K1" s="9"/>
      <c r="L1" s="9"/>
      <c r="M1" s="9"/>
      <c r="N1" s="5"/>
      <c r="O1" s="5"/>
      <c r="P1" s="5"/>
      <c r="Q1" s="5"/>
      <c r="R1" s="5"/>
      <c r="S1" s="5"/>
      <c r="T1" s="5"/>
      <c r="U1" s="5"/>
      <c r="V1" s="5"/>
      <c r="W1" s="5"/>
      <c r="X1" s="5"/>
      <c r="Y1" s="5"/>
    </row>
    <row r="2" spans="1:25" x14ac:dyDescent="0.3">
      <c r="A2" s="5"/>
      <c r="B2" s="5"/>
      <c r="C2" s="5"/>
      <c r="D2" s="5"/>
      <c r="E2" s="5"/>
      <c r="F2" s="5"/>
      <c r="G2" s="5"/>
      <c r="H2" s="5"/>
      <c r="I2" s="5"/>
      <c r="J2" s="9"/>
      <c r="K2" s="9"/>
      <c r="L2" s="9"/>
      <c r="M2" s="9"/>
      <c r="N2" s="5"/>
      <c r="O2" s="5"/>
      <c r="P2" s="5"/>
      <c r="Q2" s="5"/>
      <c r="R2" s="5"/>
      <c r="S2" s="5"/>
      <c r="T2" s="5"/>
      <c r="U2" s="5"/>
      <c r="V2" s="5"/>
      <c r="W2" s="5"/>
      <c r="X2" s="5"/>
      <c r="Y2" s="5"/>
    </row>
    <row r="3" spans="1:25" x14ac:dyDescent="0.3">
      <c r="A3" s="6"/>
      <c r="B3" s="6"/>
      <c r="C3" s="6"/>
      <c r="D3" s="6"/>
      <c r="E3" s="6"/>
      <c r="F3" s="6"/>
      <c r="G3" s="6"/>
      <c r="H3" s="11"/>
      <c r="I3" s="10" t="s">
        <v>51</v>
      </c>
      <c r="J3" s="10"/>
      <c r="K3" s="11"/>
      <c r="L3" s="10" t="s">
        <v>32</v>
      </c>
      <c r="M3" s="10"/>
      <c r="N3" s="11"/>
      <c r="O3" s="11"/>
      <c r="P3" s="11"/>
      <c r="Q3" s="11"/>
      <c r="R3" s="11"/>
      <c r="S3" s="11"/>
      <c r="T3" s="11"/>
      <c r="U3" s="11"/>
      <c r="V3" s="11"/>
      <c r="W3" s="11"/>
      <c r="X3" s="11"/>
      <c r="Y3" s="11"/>
    </row>
    <row r="4" spans="1:25" x14ac:dyDescent="0.3">
      <c r="A4" s="6"/>
      <c r="B4" s="6"/>
      <c r="C4" s="6"/>
      <c r="D4" s="6"/>
      <c r="E4" s="6"/>
      <c r="F4" s="6"/>
      <c r="G4" s="6"/>
      <c r="H4" s="11"/>
      <c r="I4" s="12">
        <f>'Kpi '!C4</f>
        <v>1588586</v>
      </c>
      <c r="J4" s="12"/>
      <c r="K4" s="11"/>
      <c r="L4" s="12">
        <f>'Kpi '!C5</f>
        <v>1688946.8400000003</v>
      </c>
      <c r="M4" s="12"/>
      <c r="N4" s="11"/>
      <c r="O4" s="11"/>
      <c r="P4" s="11"/>
      <c r="Q4" s="11"/>
      <c r="R4" s="11"/>
      <c r="S4" s="11"/>
      <c r="T4" s="11"/>
      <c r="U4" s="11"/>
      <c r="V4" s="11"/>
      <c r="W4" s="11"/>
      <c r="X4" s="11"/>
      <c r="Y4" s="11"/>
    </row>
    <row r="5" spans="1:25" x14ac:dyDescent="0.3">
      <c r="A5" s="6"/>
      <c r="B5" s="6"/>
      <c r="C5" s="6"/>
      <c r="D5" s="6"/>
      <c r="E5" s="6"/>
      <c r="F5" s="6"/>
      <c r="G5" s="6"/>
      <c r="H5" s="11"/>
      <c r="I5" s="11"/>
      <c r="J5" s="11"/>
      <c r="K5" s="11"/>
      <c r="L5" s="11"/>
      <c r="M5" s="11"/>
      <c r="N5" s="11"/>
      <c r="O5" s="11"/>
      <c r="P5" s="11"/>
      <c r="Q5" s="11"/>
      <c r="R5" s="11"/>
      <c r="S5" s="11"/>
      <c r="T5" s="11"/>
      <c r="U5" s="11"/>
      <c r="V5" s="11"/>
      <c r="W5" s="11"/>
      <c r="X5" s="11"/>
      <c r="Y5" s="11"/>
    </row>
    <row r="6" spans="1:25" x14ac:dyDescent="0.3">
      <c r="A6" s="6"/>
      <c r="B6" s="6"/>
      <c r="C6" s="6"/>
      <c r="D6" s="6"/>
      <c r="E6" s="6"/>
      <c r="F6" s="6"/>
      <c r="G6" s="6"/>
      <c r="H6" s="11"/>
      <c r="I6" s="10" t="s">
        <v>52</v>
      </c>
      <c r="J6" s="10"/>
      <c r="K6" s="11"/>
      <c r="L6" s="10" t="s">
        <v>37</v>
      </c>
      <c r="M6" s="10"/>
      <c r="N6" s="11"/>
      <c r="O6" s="11"/>
      <c r="P6" s="11"/>
      <c r="Q6" s="11"/>
      <c r="R6" s="11"/>
      <c r="S6" s="11"/>
      <c r="T6" s="11"/>
      <c r="U6" s="11"/>
      <c r="V6" s="11"/>
      <c r="W6" s="11"/>
      <c r="X6" s="11"/>
      <c r="Y6" s="11"/>
    </row>
    <row r="7" spans="1:25" x14ac:dyDescent="0.3">
      <c r="A7" s="6"/>
      <c r="B7" s="6"/>
      <c r="C7" s="6"/>
      <c r="D7" s="6"/>
      <c r="E7" s="6"/>
      <c r="F7" s="6"/>
      <c r="G7" s="6"/>
      <c r="H7" s="11"/>
      <c r="I7" s="12">
        <f>'Kpi '!C6</f>
        <v>16665</v>
      </c>
      <c r="J7" s="12"/>
      <c r="K7" s="11"/>
      <c r="L7" s="12">
        <f>'Kpi '!C7</f>
        <v>1303</v>
      </c>
      <c r="M7" s="12"/>
      <c r="N7" s="11"/>
      <c r="O7" s="11"/>
      <c r="P7" s="11"/>
      <c r="Q7" s="11"/>
      <c r="R7" s="11"/>
      <c r="S7" s="11"/>
      <c r="T7" s="11"/>
      <c r="U7" s="11"/>
      <c r="V7" s="11"/>
      <c r="W7" s="11"/>
      <c r="X7" s="11"/>
      <c r="Y7" s="11"/>
    </row>
    <row r="8" spans="1:25" x14ac:dyDescent="0.3">
      <c r="A8" s="6"/>
      <c r="B8" s="6"/>
      <c r="C8" s="6"/>
      <c r="D8" s="6"/>
      <c r="E8" s="6"/>
      <c r="F8" s="6"/>
      <c r="G8" s="6"/>
      <c r="H8" s="11"/>
      <c r="I8" s="11"/>
      <c r="J8" s="11"/>
      <c r="K8" s="11"/>
      <c r="L8" s="11"/>
      <c r="M8" s="11"/>
      <c r="N8" s="11"/>
      <c r="O8" s="11"/>
      <c r="P8" s="11"/>
      <c r="Q8" s="11"/>
      <c r="R8" s="11"/>
      <c r="S8" s="11"/>
      <c r="T8" s="11"/>
      <c r="U8" s="11"/>
      <c r="V8" s="11"/>
      <c r="W8" s="11"/>
      <c r="X8" s="11"/>
      <c r="Y8" s="11"/>
    </row>
    <row r="9" spans="1:25" x14ac:dyDescent="0.3">
      <c r="A9" s="6"/>
      <c r="B9" s="6"/>
      <c r="C9" s="6"/>
      <c r="D9" s="6"/>
      <c r="E9" s="6"/>
      <c r="F9" s="6"/>
      <c r="G9" s="6"/>
      <c r="H9" s="11"/>
      <c r="I9" s="11"/>
      <c r="J9" s="11"/>
      <c r="K9" s="11"/>
      <c r="L9" s="11"/>
      <c r="M9" s="11"/>
      <c r="N9" s="11"/>
      <c r="O9" s="11"/>
      <c r="P9" s="11"/>
      <c r="Q9" s="11"/>
      <c r="R9" s="11"/>
      <c r="S9" s="11"/>
      <c r="T9" s="11"/>
      <c r="U9" s="11"/>
      <c r="V9" s="11"/>
      <c r="W9" s="11"/>
      <c r="X9" s="11"/>
      <c r="Y9" s="11"/>
    </row>
    <row r="10" spans="1:25" x14ac:dyDescent="0.3">
      <c r="A10" s="6"/>
      <c r="B10" s="6"/>
      <c r="C10" s="6"/>
      <c r="D10" s="6"/>
      <c r="E10" s="6"/>
      <c r="F10" s="6"/>
      <c r="G10" s="6"/>
      <c r="H10" s="11"/>
      <c r="I10" s="11"/>
      <c r="J10" s="11"/>
      <c r="K10" s="11"/>
      <c r="L10" s="11"/>
      <c r="M10" s="11"/>
      <c r="N10" s="11"/>
      <c r="O10" s="11"/>
      <c r="P10" s="11"/>
      <c r="Q10" s="11"/>
      <c r="R10" s="11"/>
      <c r="S10" s="11"/>
      <c r="T10" s="11"/>
      <c r="U10" s="11"/>
      <c r="V10" s="11"/>
      <c r="W10" s="11"/>
      <c r="X10" s="11"/>
      <c r="Y10" s="11"/>
    </row>
    <row r="11" spans="1:25" x14ac:dyDescent="0.3">
      <c r="A11" s="6"/>
      <c r="B11" s="6"/>
      <c r="C11" s="6"/>
      <c r="D11" s="6"/>
      <c r="E11" s="6"/>
      <c r="F11" s="6"/>
      <c r="G11" s="6"/>
      <c r="H11" s="11"/>
      <c r="I11" s="11"/>
      <c r="J11" s="11"/>
      <c r="K11" s="11"/>
      <c r="L11" s="11"/>
      <c r="M11" s="11"/>
      <c r="N11" s="11"/>
      <c r="O11" s="11"/>
      <c r="P11" s="11"/>
      <c r="Q11" s="11"/>
      <c r="R11" s="11"/>
      <c r="S11" s="11"/>
      <c r="T11" s="11"/>
      <c r="U11" s="11"/>
      <c r="V11" s="11"/>
      <c r="W11" s="11"/>
      <c r="X11" s="11"/>
      <c r="Y11" s="11"/>
    </row>
    <row r="12" spans="1:25" x14ac:dyDescent="0.3">
      <c r="A12" s="6"/>
      <c r="B12" s="6"/>
      <c r="C12" s="6"/>
      <c r="D12" s="6"/>
      <c r="E12" s="6"/>
      <c r="F12" s="6"/>
      <c r="G12" s="6"/>
      <c r="H12" s="11"/>
      <c r="I12" s="11"/>
      <c r="J12" s="11"/>
      <c r="K12" s="11"/>
      <c r="L12" s="11"/>
      <c r="M12" s="11"/>
      <c r="N12" s="11"/>
      <c r="O12" s="11"/>
      <c r="P12" s="11"/>
      <c r="Q12" s="11"/>
      <c r="R12" s="11"/>
      <c r="S12" s="11"/>
      <c r="T12" s="11"/>
      <c r="U12" s="11"/>
      <c r="V12" s="11"/>
      <c r="W12" s="11"/>
      <c r="X12" s="11"/>
      <c r="Y12" s="11"/>
    </row>
    <row r="13" spans="1:25" x14ac:dyDescent="0.3">
      <c r="A13" s="6"/>
      <c r="B13" s="6"/>
      <c r="C13" s="6"/>
      <c r="D13" s="6"/>
      <c r="E13" s="6"/>
      <c r="F13" s="6"/>
      <c r="G13" s="6"/>
      <c r="H13" s="11"/>
      <c r="I13" s="11"/>
      <c r="J13" s="11"/>
      <c r="K13" s="11"/>
      <c r="L13" s="11"/>
      <c r="M13" s="11"/>
      <c r="N13" s="11"/>
      <c r="O13" s="11"/>
      <c r="P13" s="11"/>
      <c r="Q13" s="11"/>
      <c r="R13" s="11"/>
      <c r="S13" s="11"/>
      <c r="T13" s="11"/>
      <c r="U13" s="11"/>
      <c r="V13" s="11"/>
      <c r="W13" s="11"/>
      <c r="X13" s="11"/>
      <c r="Y13" s="11"/>
    </row>
    <row r="14" spans="1:25" x14ac:dyDescent="0.3">
      <c r="A14" s="6"/>
      <c r="B14" s="6"/>
      <c r="C14" s="6"/>
      <c r="D14" s="6"/>
      <c r="E14" s="6"/>
      <c r="F14" s="6"/>
      <c r="G14" s="6"/>
      <c r="H14" s="11"/>
      <c r="I14" s="11"/>
      <c r="J14" s="11"/>
      <c r="K14" s="11"/>
      <c r="L14" s="11"/>
      <c r="M14" s="11"/>
      <c r="N14" s="11"/>
      <c r="O14" s="11"/>
      <c r="P14" s="11"/>
      <c r="Q14" s="11"/>
      <c r="R14" s="11"/>
      <c r="S14" s="11"/>
      <c r="T14" s="11"/>
      <c r="U14" s="11"/>
      <c r="V14" s="11"/>
      <c r="W14" s="11"/>
      <c r="X14" s="11"/>
      <c r="Y14" s="11"/>
    </row>
    <row r="15" spans="1:25" x14ac:dyDescent="0.3">
      <c r="A15" s="6"/>
      <c r="B15" s="6"/>
      <c r="C15" s="6"/>
      <c r="D15" s="6"/>
      <c r="E15" s="6"/>
      <c r="F15" s="6"/>
      <c r="G15" s="6"/>
      <c r="H15" s="11"/>
      <c r="I15" s="11"/>
      <c r="J15" s="11"/>
      <c r="K15" s="11"/>
      <c r="L15" s="11"/>
      <c r="M15" s="11"/>
      <c r="N15" s="11"/>
      <c r="O15" s="11"/>
      <c r="P15" s="11"/>
      <c r="Q15" s="11"/>
      <c r="R15" s="11"/>
      <c r="S15" s="11"/>
      <c r="T15" s="11"/>
      <c r="U15" s="11"/>
      <c r="V15" s="11"/>
      <c r="W15" s="11"/>
      <c r="X15" s="11"/>
      <c r="Y15" s="11"/>
    </row>
    <row r="16" spans="1:25" x14ac:dyDescent="0.3">
      <c r="A16" s="6"/>
      <c r="B16" s="6"/>
      <c r="C16" s="6"/>
      <c r="D16" s="6"/>
      <c r="E16" s="6"/>
      <c r="F16" s="6"/>
      <c r="G16" s="6"/>
      <c r="H16" s="11"/>
      <c r="I16" s="11"/>
      <c r="J16" s="11"/>
      <c r="K16" s="11"/>
      <c r="L16" s="11"/>
      <c r="M16" s="11"/>
      <c r="N16" s="11"/>
      <c r="O16" s="11"/>
      <c r="P16" s="11"/>
      <c r="Q16" s="11"/>
      <c r="R16" s="11"/>
      <c r="S16" s="11"/>
      <c r="T16" s="11"/>
      <c r="U16" s="11"/>
      <c r="V16" s="11"/>
      <c r="W16" s="11"/>
      <c r="X16" s="11"/>
      <c r="Y16" s="11"/>
    </row>
    <row r="17" spans="1:25" x14ac:dyDescent="0.3">
      <c r="A17" s="6"/>
      <c r="B17" s="6"/>
      <c r="C17" s="6"/>
      <c r="D17" s="6"/>
      <c r="E17" s="6"/>
      <c r="F17" s="6"/>
      <c r="G17" s="6"/>
      <c r="H17" s="11"/>
      <c r="I17" s="11"/>
      <c r="J17" s="11"/>
      <c r="K17" s="11"/>
      <c r="L17" s="11"/>
      <c r="M17" s="11"/>
      <c r="N17" s="11"/>
      <c r="O17" s="11"/>
      <c r="P17" s="11"/>
      <c r="Q17" s="11"/>
      <c r="R17" s="11"/>
      <c r="S17" s="11"/>
      <c r="T17" s="11"/>
      <c r="U17" s="11"/>
      <c r="V17" s="11"/>
      <c r="W17" s="11"/>
      <c r="X17" s="11"/>
      <c r="Y17" s="11"/>
    </row>
    <row r="18" spans="1:25" x14ac:dyDescent="0.3">
      <c r="A18" s="6"/>
      <c r="B18" s="6"/>
      <c r="C18" s="6"/>
      <c r="D18" s="6"/>
      <c r="E18" s="6"/>
      <c r="F18" s="6"/>
      <c r="G18" s="6"/>
      <c r="H18" s="11"/>
      <c r="I18" s="11"/>
      <c r="J18" s="11"/>
      <c r="K18" s="11"/>
      <c r="L18" s="11"/>
      <c r="M18" s="11"/>
      <c r="N18" s="11"/>
      <c r="O18" s="11"/>
      <c r="P18" s="11"/>
      <c r="Q18" s="11"/>
      <c r="R18" s="11"/>
      <c r="S18" s="11"/>
      <c r="T18" s="11"/>
      <c r="U18" s="11"/>
      <c r="V18" s="11"/>
      <c r="W18" s="11"/>
      <c r="X18" s="11"/>
      <c r="Y18" s="11"/>
    </row>
    <row r="19" spans="1:25" x14ac:dyDescent="0.3">
      <c r="A19" s="6"/>
      <c r="B19" s="6"/>
      <c r="C19" s="6"/>
      <c r="D19" s="6"/>
      <c r="E19" s="6"/>
      <c r="F19" s="6"/>
      <c r="G19" s="6"/>
      <c r="H19" s="11"/>
      <c r="I19" s="11"/>
      <c r="J19" s="11"/>
      <c r="K19" s="11"/>
      <c r="L19" s="11"/>
      <c r="M19" s="11"/>
      <c r="N19" s="11"/>
      <c r="O19" s="11"/>
      <c r="P19" s="11"/>
      <c r="Q19" s="11"/>
      <c r="R19" s="11"/>
      <c r="S19" s="11"/>
      <c r="T19" s="11"/>
      <c r="U19" s="11"/>
      <c r="V19" s="11"/>
      <c r="W19" s="11"/>
      <c r="X19" s="11"/>
      <c r="Y19" s="11"/>
    </row>
    <row r="20" spans="1:25" x14ac:dyDescent="0.3">
      <c r="A20" s="6"/>
      <c r="B20" s="6"/>
      <c r="C20" s="6"/>
      <c r="D20" s="6"/>
      <c r="E20" s="6"/>
      <c r="F20" s="6"/>
      <c r="G20" s="6"/>
      <c r="H20" s="11"/>
      <c r="I20" s="11"/>
      <c r="J20" s="11"/>
      <c r="K20" s="11"/>
      <c r="L20" s="11"/>
      <c r="M20" s="11"/>
      <c r="N20" s="11"/>
      <c r="O20" s="11"/>
      <c r="P20" s="11"/>
      <c r="Q20" s="11"/>
      <c r="R20" s="11"/>
      <c r="S20" s="11"/>
      <c r="T20" s="11"/>
      <c r="U20" s="11"/>
      <c r="V20" s="11"/>
      <c r="W20" s="11"/>
      <c r="X20" s="11"/>
      <c r="Y20" s="11"/>
    </row>
    <row r="21" spans="1:25" x14ac:dyDescent="0.3">
      <c r="A21" s="6"/>
      <c r="B21" s="6"/>
      <c r="C21" s="6"/>
      <c r="D21" s="6"/>
      <c r="E21" s="6"/>
      <c r="F21" s="6"/>
      <c r="G21" s="6"/>
      <c r="H21" s="11"/>
      <c r="I21" s="11"/>
      <c r="J21" s="11"/>
      <c r="K21" s="11"/>
      <c r="L21" s="11"/>
      <c r="M21" s="11"/>
      <c r="N21" s="11"/>
      <c r="O21" s="11"/>
      <c r="P21" s="11"/>
      <c r="Q21" s="11"/>
      <c r="R21" s="11"/>
      <c r="S21" s="11"/>
      <c r="T21" s="11"/>
      <c r="U21" s="11"/>
      <c r="V21" s="11"/>
      <c r="W21" s="11"/>
      <c r="X21" s="11"/>
      <c r="Y21" s="11"/>
    </row>
    <row r="22" spans="1:25" x14ac:dyDescent="0.3">
      <c r="A22" s="6"/>
      <c r="B22" s="6"/>
      <c r="C22" s="6"/>
      <c r="D22" s="6"/>
      <c r="E22" s="6"/>
      <c r="F22" s="6"/>
      <c r="G22" s="6"/>
      <c r="H22" s="11"/>
      <c r="I22" s="11"/>
      <c r="J22" s="11"/>
      <c r="K22" s="11"/>
      <c r="L22" s="11"/>
      <c r="M22" s="11"/>
      <c r="N22" s="11"/>
      <c r="O22" s="11"/>
      <c r="P22" s="11"/>
      <c r="Q22" s="11"/>
      <c r="R22" s="11"/>
      <c r="S22" s="11"/>
      <c r="T22" s="11"/>
      <c r="U22" s="11"/>
      <c r="V22" s="11"/>
      <c r="W22" s="11"/>
      <c r="X22" s="11"/>
      <c r="Y22" s="11"/>
    </row>
    <row r="23" spans="1:25" x14ac:dyDescent="0.3">
      <c r="A23" s="6"/>
      <c r="B23" s="6"/>
      <c r="C23" s="6"/>
      <c r="D23" s="6"/>
      <c r="E23" s="6"/>
      <c r="F23" s="6"/>
      <c r="G23" s="6"/>
      <c r="H23" s="11"/>
      <c r="I23" s="11"/>
      <c r="J23" s="11"/>
      <c r="K23" s="11"/>
      <c r="L23" s="11"/>
      <c r="M23" s="11"/>
      <c r="N23" s="11"/>
      <c r="O23" s="11"/>
      <c r="P23" s="11"/>
      <c r="Q23" s="11"/>
      <c r="R23" s="11"/>
      <c r="S23" s="11"/>
      <c r="T23" s="11"/>
      <c r="U23" s="11"/>
      <c r="V23" s="11"/>
      <c r="W23" s="11"/>
      <c r="X23" s="11"/>
      <c r="Y23" s="11"/>
    </row>
    <row r="24" spans="1:25" x14ac:dyDescent="0.3">
      <c r="A24" s="6"/>
      <c r="B24" s="6"/>
      <c r="C24" s="6"/>
      <c r="D24" s="6"/>
      <c r="E24" s="6"/>
      <c r="F24" s="6"/>
      <c r="G24" s="6"/>
      <c r="H24" s="11"/>
      <c r="I24" s="11"/>
      <c r="J24" s="11"/>
      <c r="K24" s="11"/>
      <c r="L24" s="11"/>
      <c r="M24" s="11"/>
      <c r="N24" s="11"/>
      <c r="O24" s="11"/>
      <c r="P24" s="11"/>
      <c r="Q24" s="11"/>
      <c r="R24" s="11"/>
      <c r="S24" s="11"/>
      <c r="T24" s="11"/>
      <c r="U24" s="11"/>
      <c r="V24" s="11"/>
      <c r="W24" s="11"/>
      <c r="X24" s="11"/>
      <c r="Y24" s="11"/>
    </row>
    <row r="25" spans="1:25" x14ac:dyDescent="0.3">
      <c r="A25" s="6"/>
      <c r="B25" s="6"/>
      <c r="C25" s="6"/>
      <c r="D25" s="6"/>
      <c r="E25" s="6"/>
      <c r="F25" s="6"/>
      <c r="G25" s="6"/>
      <c r="H25" s="11"/>
      <c r="I25" s="11"/>
      <c r="J25" s="11"/>
      <c r="K25" s="11"/>
      <c r="L25" s="11"/>
      <c r="M25" s="11"/>
      <c r="N25" s="11"/>
      <c r="O25" s="11"/>
      <c r="P25" s="11"/>
      <c r="Q25" s="11"/>
      <c r="R25" s="11"/>
      <c r="S25" s="11"/>
      <c r="T25" s="11"/>
      <c r="U25" s="11"/>
      <c r="V25" s="11"/>
      <c r="W25" s="11"/>
      <c r="X25" s="11"/>
      <c r="Y25" s="11"/>
    </row>
    <row r="26" spans="1:25" x14ac:dyDescent="0.3">
      <c r="A26" s="6"/>
      <c r="B26" s="6"/>
      <c r="C26" s="6"/>
      <c r="D26" s="6"/>
      <c r="E26" s="6"/>
      <c r="F26" s="6"/>
      <c r="G26" s="6"/>
      <c r="H26" s="11"/>
      <c r="I26" s="11"/>
      <c r="J26" s="11"/>
      <c r="K26" s="11"/>
      <c r="L26" s="11"/>
      <c r="M26" s="11"/>
      <c r="N26" s="11"/>
      <c r="O26" s="11"/>
      <c r="P26" s="11"/>
      <c r="Q26" s="11"/>
      <c r="R26" s="11"/>
      <c r="S26" s="11"/>
      <c r="T26" s="11"/>
      <c r="U26" s="11"/>
      <c r="V26" s="11"/>
      <c r="W26" s="11"/>
      <c r="X26" s="11"/>
      <c r="Y26" s="11"/>
    </row>
    <row r="27" spans="1:25" x14ac:dyDescent="0.3">
      <c r="A27" s="6"/>
      <c r="B27" s="6"/>
      <c r="C27" s="6"/>
      <c r="D27" s="6"/>
      <c r="E27" s="6"/>
      <c r="F27" s="6"/>
      <c r="G27" s="6"/>
      <c r="H27" s="11"/>
      <c r="I27" s="11"/>
      <c r="J27" s="11"/>
      <c r="K27" s="11"/>
      <c r="L27" s="11"/>
      <c r="M27" s="11"/>
      <c r="N27" s="11"/>
      <c r="O27" s="11"/>
      <c r="P27" s="11"/>
      <c r="Q27" s="11"/>
      <c r="R27" s="11"/>
      <c r="S27" s="11"/>
      <c r="T27" s="11"/>
      <c r="U27" s="11"/>
      <c r="V27" s="11"/>
      <c r="W27" s="11"/>
      <c r="X27" s="11"/>
      <c r="Y27" s="11"/>
    </row>
    <row r="28" spans="1:25" x14ac:dyDescent="0.3">
      <c r="A28" s="6"/>
      <c r="B28" s="6"/>
      <c r="C28" s="6"/>
      <c r="D28" s="6"/>
      <c r="E28" s="6"/>
      <c r="F28" s="6"/>
      <c r="G28" s="6"/>
      <c r="H28" s="11"/>
      <c r="I28" s="11"/>
      <c r="J28" s="11"/>
      <c r="K28" s="11"/>
      <c r="L28" s="11"/>
      <c r="M28" s="11"/>
      <c r="N28" s="11"/>
      <c r="O28" s="11"/>
      <c r="P28" s="11"/>
      <c r="Q28" s="11"/>
      <c r="R28" s="11"/>
      <c r="S28" s="11"/>
      <c r="T28" s="11"/>
      <c r="U28" s="11"/>
      <c r="V28" s="11"/>
      <c r="W28" s="11"/>
      <c r="X28" s="11"/>
      <c r="Y28" s="11"/>
    </row>
    <row r="29" spans="1:25" x14ac:dyDescent="0.3">
      <c r="A29" s="6"/>
      <c r="B29" s="6"/>
      <c r="C29" s="6"/>
      <c r="D29" s="6"/>
      <c r="E29" s="6"/>
      <c r="F29" s="6"/>
      <c r="G29" s="6"/>
      <c r="H29" s="11"/>
      <c r="I29" s="11"/>
      <c r="J29" s="11"/>
      <c r="K29" s="11"/>
      <c r="L29" s="11"/>
      <c r="M29" s="11"/>
      <c r="N29" s="11"/>
      <c r="O29" s="11"/>
      <c r="P29" s="11"/>
      <c r="Q29" s="11"/>
      <c r="R29" s="11"/>
      <c r="S29" s="11"/>
      <c r="T29" s="11"/>
      <c r="U29" s="11"/>
      <c r="V29" s="11"/>
      <c r="W29" s="11"/>
      <c r="X29" s="11"/>
      <c r="Y29" s="11"/>
    </row>
    <row r="30" spans="1:25" x14ac:dyDescent="0.3">
      <c r="A30" s="6"/>
      <c r="B30" s="6"/>
      <c r="C30" s="6"/>
      <c r="D30" s="6"/>
      <c r="E30" s="6"/>
      <c r="F30" s="6"/>
      <c r="G30" s="6"/>
      <c r="H30" s="11"/>
      <c r="I30" s="11"/>
      <c r="J30" s="11"/>
      <c r="K30" s="11"/>
      <c r="L30" s="11"/>
      <c r="M30" s="11"/>
      <c r="N30" s="11"/>
      <c r="O30" s="11"/>
      <c r="P30" s="11"/>
      <c r="Q30" s="11"/>
      <c r="R30" s="11"/>
      <c r="S30" s="11"/>
      <c r="T30" s="11"/>
      <c r="U30" s="11"/>
      <c r="V30" s="11"/>
      <c r="W30" s="11"/>
      <c r="X30" s="11"/>
      <c r="Y30" s="11"/>
    </row>
    <row r="31" spans="1:25" x14ac:dyDescent="0.3">
      <c r="A31" s="6"/>
      <c r="B31" s="6"/>
      <c r="C31" s="6"/>
      <c r="D31" s="6"/>
      <c r="E31" s="6"/>
      <c r="F31" s="6"/>
      <c r="G31" s="6"/>
      <c r="H31" s="11"/>
      <c r="I31" s="11"/>
      <c r="J31" s="11"/>
      <c r="K31" s="11"/>
      <c r="L31" s="11"/>
      <c r="M31" s="11"/>
      <c r="N31" s="11"/>
      <c r="O31" s="11"/>
      <c r="P31" s="11"/>
      <c r="Q31" s="11"/>
      <c r="R31" s="11"/>
      <c r="S31" s="11"/>
      <c r="T31" s="11"/>
      <c r="U31" s="11"/>
      <c r="V31" s="11"/>
      <c r="W31" s="11"/>
      <c r="X31" s="11"/>
      <c r="Y31" s="11"/>
    </row>
    <row r="32" spans="1:25" x14ac:dyDescent="0.3">
      <c r="A32" s="6"/>
      <c r="B32" s="6"/>
      <c r="C32" s="6"/>
      <c r="D32" s="6"/>
      <c r="E32" s="6"/>
      <c r="F32" s="6"/>
      <c r="G32" s="6"/>
      <c r="H32" s="11"/>
      <c r="I32" s="11"/>
      <c r="J32" s="11"/>
      <c r="K32" s="11"/>
      <c r="L32" s="11"/>
      <c r="M32" s="11"/>
      <c r="N32" s="11"/>
      <c r="O32" s="11"/>
      <c r="P32" s="11"/>
      <c r="Q32" s="11"/>
      <c r="R32" s="11"/>
      <c r="S32" s="11"/>
      <c r="T32" s="11"/>
      <c r="U32" s="11"/>
      <c r="V32" s="11"/>
      <c r="W32" s="11"/>
      <c r="X32" s="11"/>
      <c r="Y32" s="11"/>
    </row>
  </sheetData>
  <mergeCells count="9">
    <mergeCell ref="I7:J7"/>
    <mergeCell ref="L6:M6"/>
    <mergeCell ref="L7:M7"/>
    <mergeCell ref="J1:M2"/>
    <mergeCell ref="I3:J3"/>
    <mergeCell ref="I4:J4"/>
    <mergeCell ref="L3:M3"/>
    <mergeCell ref="L4:M4"/>
    <mergeCell ref="I6:J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7864A4-0511-47A4-B9F0-AAF10C1AF6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raw data 2</vt:lpstr>
      <vt:lpstr>Cleaned Data</vt:lpstr>
      <vt:lpstr>Kpi </vt:lpstr>
      <vt:lpstr>Charts and slicers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 gupta</dc:creator>
  <cp:lastModifiedBy>sarthak gupta</cp:lastModifiedBy>
  <dcterms:created xsi:type="dcterms:W3CDTF">2025-10-13T11:50:45Z</dcterms:created>
  <dcterms:modified xsi:type="dcterms:W3CDTF">2025-10-13T12:35:46Z</dcterms:modified>
</cp:coreProperties>
</file>